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amra7\Desktop\Data Analysis\Excel\"/>
    </mc:Choice>
  </mc:AlternateContent>
  <bookViews>
    <workbookView xWindow="0" yWindow="0" windowWidth="23040" windowHeight="9264" firstSheet="3" activeTab="6"/>
  </bookViews>
  <sheets>
    <sheet name="Data After Cleaning" sheetId="1" r:id="rId1"/>
    <sheet name="Overtime Analysis" sheetId="8" r:id="rId2"/>
    <sheet name="Employees by Work Location" sheetId="7" r:id="rId3"/>
    <sheet name="Performance Distribution" sheetId="5" r:id="rId4"/>
    <sheet name="Headcount by Department" sheetId="2" r:id="rId5"/>
    <sheet name="Average Salary by Department" sheetId="4" r:id="rId6"/>
    <sheet name="KPI" sheetId="9" r:id="rId7"/>
    <sheet name="Dashboard" sheetId="12" r:id="rId8"/>
  </sheets>
  <calcPr calcId="152511"/>
  <pivotCaches>
    <pivotCache cacheId="14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9" l="1"/>
  <c r="F12" i="9"/>
  <c r="F11" i="9"/>
  <c r="F10" i="9"/>
  <c r="F9" i="9"/>
</calcChain>
</file>

<file path=xl/sharedStrings.xml><?xml version="1.0" encoding="utf-8"?>
<sst xmlns="http://schemas.openxmlformats.org/spreadsheetml/2006/main" count="4587" uniqueCount="69">
  <si>
    <t>EmployeeID</t>
  </si>
  <si>
    <t>HireDate</t>
  </si>
  <si>
    <t>Department</t>
  </si>
  <si>
    <t>JobRole</t>
  </si>
  <si>
    <t>Gender</t>
  </si>
  <si>
    <t>Age</t>
  </si>
  <si>
    <t>MonthlySalary</t>
  </si>
  <si>
    <t>YearsAtCompany</t>
  </si>
  <si>
    <t>PerformanceRating</t>
  </si>
  <si>
    <t>Overtime</t>
  </si>
  <si>
    <t>WorkLocation</t>
  </si>
  <si>
    <t>Manager</t>
  </si>
  <si>
    <t xml:space="preserve">Annual Salary </t>
  </si>
  <si>
    <t>Age Group</t>
  </si>
  <si>
    <t>Experience Level</t>
  </si>
  <si>
    <t>Preformance Category</t>
  </si>
  <si>
    <t>Finance</t>
  </si>
  <si>
    <t>Financial Analyst</t>
  </si>
  <si>
    <t>Male</t>
  </si>
  <si>
    <t>No</t>
  </si>
  <si>
    <t>Remote</t>
  </si>
  <si>
    <t>Mona Ali</t>
  </si>
  <si>
    <t>30 - 45</t>
  </si>
  <si>
    <t>Senior</t>
  </si>
  <si>
    <t>Low</t>
  </si>
  <si>
    <t>Operations</t>
  </si>
  <si>
    <t>Operations Officer</t>
  </si>
  <si>
    <t>Female</t>
  </si>
  <si>
    <t>Hybrid</t>
  </si>
  <si>
    <t>Above 45</t>
  </si>
  <si>
    <t>Supply Chain Analyst</t>
  </si>
  <si>
    <t>Khaled Samir</t>
  </si>
  <si>
    <t>Under 30</t>
  </si>
  <si>
    <t>Sales</t>
  </si>
  <si>
    <t>Sales Executive</t>
  </si>
  <si>
    <t>Yes</t>
  </si>
  <si>
    <t>Onsite</t>
  </si>
  <si>
    <t>HR</t>
  </si>
  <si>
    <t>Recruiter</t>
  </si>
  <si>
    <t>Ahmed Hassan</t>
  </si>
  <si>
    <t>Accountant</t>
  </si>
  <si>
    <t>HR Executive</t>
  </si>
  <si>
    <t>Youssef Mahmoud</t>
  </si>
  <si>
    <t>Sara Adel</t>
  </si>
  <si>
    <t>Marketing</t>
  </si>
  <si>
    <t>Content Creator</t>
  </si>
  <si>
    <t>IT</t>
  </si>
  <si>
    <t>IT Support</t>
  </si>
  <si>
    <t>Software Engineer</t>
  </si>
  <si>
    <t>Sales Manager</t>
  </si>
  <si>
    <t>Marketing Specialist</t>
  </si>
  <si>
    <t>Data Analyst</t>
  </si>
  <si>
    <t>High</t>
  </si>
  <si>
    <t>Medium</t>
  </si>
  <si>
    <t>Mid</t>
  </si>
  <si>
    <t>Junior</t>
  </si>
  <si>
    <t>Row Labels</t>
  </si>
  <si>
    <t>Grand Total</t>
  </si>
  <si>
    <t>Count of EmployeeID</t>
  </si>
  <si>
    <t xml:space="preserve">Average of Annual Salary </t>
  </si>
  <si>
    <t>Column Labels</t>
  </si>
  <si>
    <t>Average of PerformanceRating</t>
  </si>
  <si>
    <t>Count of Overtime</t>
  </si>
  <si>
    <t>Count of Experience Level</t>
  </si>
  <si>
    <t>1. Which department has the highest average salary?</t>
  </si>
  <si>
    <t>2.Which department has the most employees?</t>
  </si>
  <si>
    <t>3. What percentage of employees work remotely?</t>
  </si>
  <si>
    <t>4. Is overtime more common in specific departments?</t>
  </si>
  <si>
    <t>5. Which experience level dominates the company?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</si>
</sst>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\$#,##0.###############;\(\$#,##0.###############\);\$#,##0.###############"/>
    <numFmt numFmtId="169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>
      <alignment horizontal="center" vertical="center"/>
    </xf>
    <xf numFmtId="15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168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  <xf numFmtId="169" fontId="0" fillId="0" borderId="0" xfId="0" applyNumberFormat="1"/>
    <xf numFmtId="10" fontId="0" fillId="0" borderId="0" xfId="0" applyNumberFormat="1"/>
    <xf numFmtId="0" fontId="0" fillId="3" borderId="0" xfId="0" applyFill="1"/>
    <xf numFmtId="0" fontId="3" fillId="0" borderId="0" xfId="0" applyFont="1" applyAlignment="1">
      <alignment horizontal="left" vertical="center" indent="1"/>
    </xf>
    <xf numFmtId="0" fontId="3" fillId="0" borderId="0" xfId="0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8" formatCode="\$#,##0.###############;\(\$#,##0.###############\);\$#,##0.##############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8" formatCode="\$#,##0.###############;\(\$#,##0.###############\);\$#,##0.##############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99FF33"/>
      <color rgb="FF1F41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Mahmoud.xlsx]Overtime Analysis!PivotTable6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Overtime Analysis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'Overtime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'Overtime Analysis'!$A$5:$A$11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'Overtime Analysis'!$B$5:$B$11</c:f>
              <c:numCache>
                <c:formatCode>General</c:formatCode>
                <c:ptCount val="6"/>
                <c:pt idx="0">
                  <c:v>49</c:v>
                </c:pt>
                <c:pt idx="1">
                  <c:v>41</c:v>
                </c:pt>
                <c:pt idx="2">
                  <c:v>38</c:v>
                </c:pt>
                <c:pt idx="3">
                  <c:v>37</c:v>
                </c:pt>
                <c:pt idx="4">
                  <c:v>43</c:v>
                </c:pt>
                <c:pt idx="5">
                  <c:v>43</c:v>
                </c:pt>
              </c:numCache>
            </c:numRef>
          </c:val>
        </c:ser>
        <c:ser>
          <c:idx val="1"/>
          <c:order val="1"/>
          <c:tx>
            <c:strRef>
              <c:f>'Overtime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'Overtime Analysis'!$A$5:$A$11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'Overtime Analysis'!$C$5:$C$11</c:f>
              <c:numCache>
                <c:formatCode>General</c:formatCode>
                <c:ptCount val="6"/>
                <c:pt idx="0">
                  <c:v>44</c:v>
                </c:pt>
                <c:pt idx="1">
                  <c:v>43</c:v>
                </c:pt>
                <c:pt idx="2">
                  <c:v>41</c:v>
                </c:pt>
                <c:pt idx="3">
                  <c:v>44</c:v>
                </c:pt>
                <c:pt idx="4">
                  <c:v>29</c:v>
                </c:pt>
                <c:pt idx="5">
                  <c:v>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95120112"/>
        <c:axId val="495125992"/>
        <c:axId val="0"/>
      </c:bar3DChart>
      <c:catAx>
        <c:axId val="49512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125992"/>
        <c:crosses val="autoZero"/>
        <c:auto val="1"/>
        <c:lblAlgn val="ctr"/>
        <c:lblOffset val="100"/>
        <c:noMultiLvlLbl val="0"/>
      </c:catAx>
      <c:valAx>
        <c:axId val="495125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12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Mahmoud.xlsx]Employees by Work Location!PivotTable5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Employees by Work Location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'Employees by Work Location'!$B$3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'Employees by Work Location'!$A$4:$A$7</c:f>
              <c:strCache>
                <c:ptCount val="3"/>
                <c:pt idx="0">
                  <c:v>Hybrid</c:v>
                </c:pt>
                <c:pt idx="1">
                  <c:v>Onsite</c:v>
                </c:pt>
                <c:pt idx="2">
                  <c:v>Remote</c:v>
                </c:pt>
              </c:strCache>
            </c:strRef>
          </c:cat>
          <c:val>
            <c:numRef>
              <c:f>'Employees by Work Location'!$B$4:$B$7</c:f>
              <c:numCache>
                <c:formatCode>0.00%</c:formatCode>
                <c:ptCount val="3"/>
                <c:pt idx="0">
                  <c:v>0.314</c:v>
                </c:pt>
                <c:pt idx="1">
                  <c:v>0.35199999999999998</c:v>
                </c:pt>
                <c:pt idx="2">
                  <c:v>0.33400000000000002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Mahmoud.xlsx]Performance Distribution!PivotTable3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effectLst/>
              </a:rPr>
              <a:t>Performance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'Performance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'Performance Distribution'!$A$4:$A$7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'Performance Distribution'!$B$4:$B$7</c:f>
              <c:numCache>
                <c:formatCode>0.00%</c:formatCode>
                <c:ptCount val="3"/>
                <c:pt idx="0">
                  <c:v>0.41399999999999998</c:v>
                </c:pt>
                <c:pt idx="1">
                  <c:v>0.42599999999999999</c:v>
                </c:pt>
                <c:pt idx="2">
                  <c:v>0.16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Mahmoud.xlsx]Headcount by Department!PivotTable1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000" b="1" i="0" u="none" strike="noStrike" cap="none" normalizeH="0" baseline="0">
                <a:effectLst/>
              </a:rPr>
              <a:t>Headcount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'Headcount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'Headcount by Department'!$A$4:$A$10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'Headcount by Department'!$B$4:$B$10</c:f>
              <c:numCache>
                <c:formatCode>General</c:formatCode>
                <c:ptCount val="6"/>
                <c:pt idx="0">
                  <c:v>93</c:v>
                </c:pt>
                <c:pt idx="1">
                  <c:v>84</c:v>
                </c:pt>
                <c:pt idx="2">
                  <c:v>79</c:v>
                </c:pt>
                <c:pt idx="3">
                  <c:v>81</c:v>
                </c:pt>
                <c:pt idx="4">
                  <c:v>72</c:v>
                </c:pt>
                <c:pt idx="5">
                  <c:v>91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399329544"/>
        <c:axId val="399330720"/>
      </c:barChart>
      <c:catAx>
        <c:axId val="399329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30720"/>
        <c:crosses val="autoZero"/>
        <c:auto val="1"/>
        <c:lblAlgn val="ctr"/>
        <c:lblOffset val="100"/>
        <c:noMultiLvlLbl val="0"/>
      </c:catAx>
      <c:valAx>
        <c:axId val="39933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2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Mahmoud.xlsx]Average Salary by Department!PivotTable2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Average Salary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'Average Salary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Salary by Department'!$A$4:$A$10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'Average Salary by Department'!$B$4:$B$10</c:f>
              <c:numCache>
                <c:formatCode>"$"#,##0.00</c:formatCode>
                <c:ptCount val="6"/>
                <c:pt idx="0">
                  <c:v>147421.93548387097</c:v>
                </c:pt>
                <c:pt idx="1">
                  <c:v>141493.42857142858</c:v>
                </c:pt>
                <c:pt idx="2">
                  <c:v>146147.54430379748</c:v>
                </c:pt>
                <c:pt idx="3">
                  <c:v>140156</c:v>
                </c:pt>
                <c:pt idx="4">
                  <c:v>150629.33333333334</c:v>
                </c:pt>
                <c:pt idx="5">
                  <c:v>141845.8021978022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04637160"/>
        <c:axId val="504634024"/>
        <c:axId val="0"/>
      </c:bar3DChart>
      <c:catAx>
        <c:axId val="504637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34024"/>
        <c:crosses val="autoZero"/>
        <c:auto val="1"/>
        <c:lblAlgn val="ctr"/>
        <c:lblOffset val="100"/>
        <c:noMultiLvlLbl val="0"/>
      </c:catAx>
      <c:valAx>
        <c:axId val="504634024"/>
        <c:scaling>
          <c:orientation val="minMax"/>
        </c:scaling>
        <c:delete val="0"/>
        <c:axPos val="b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3716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Mahmoud.xlsx]Overtime Analysis!PivotTable6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bg1"/>
                </a:solidFill>
                <a:effectLst/>
              </a:rPr>
              <a:t>Overtime Analysis</a:t>
            </a:r>
            <a:endParaRPr lang="en-US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'Overtime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'Overtime Analysis'!$A$5:$A$11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'Overtime Analysis'!$B$5:$B$11</c:f>
              <c:numCache>
                <c:formatCode>General</c:formatCode>
                <c:ptCount val="6"/>
                <c:pt idx="0">
                  <c:v>49</c:v>
                </c:pt>
                <c:pt idx="1">
                  <c:v>41</c:v>
                </c:pt>
                <c:pt idx="2">
                  <c:v>38</c:v>
                </c:pt>
                <c:pt idx="3">
                  <c:v>37</c:v>
                </c:pt>
                <c:pt idx="4">
                  <c:v>43</c:v>
                </c:pt>
                <c:pt idx="5">
                  <c:v>43</c:v>
                </c:pt>
              </c:numCache>
            </c:numRef>
          </c:val>
        </c:ser>
        <c:ser>
          <c:idx val="1"/>
          <c:order val="1"/>
          <c:tx>
            <c:strRef>
              <c:f>'Overtime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'Overtime Analysis'!$A$5:$A$11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'Overtime Analysis'!$C$5:$C$11</c:f>
              <c:numCache>
                <c:formatCode>General</c:formatCode>
                <c:ptCount val="6"/>
                <c:pt idx="0">
                  <c:v>44</c:v>
                </c:pt>
                <c:pt idx="1">
                  <c:v>43</c:v>
                </c:pt>
                <c:pt idx="2">
                  <c:v>41</c:v>
                </c:pt>
                <c:pt idx="3">
                  <c:v>44</c:v>
                </c:pt>
                <c:pt idx="4">
                  <c:v>29</c:v>
                </c:pt>
                <c:pt idx="5">
                  <c:v>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7628232"/>
        <c:axId val="37626272"/>
        <c:axId val="0"/>
      </c:bar3DChart>
      <c:catAx>
        <c:axId val="37628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6272"/>
        <c:crosses val="autoZero"/>
        <c:auto val="1"/>
        <c:lblAlgn val="ctr"/>
        <c:lblOffset val="100"/>
        <c:noMultiLvlLbl val="0"/>
      </c:catAx>
      <c:valAx>
        <c:axId val="37626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Mahmoud.xlsx]Average Salary by Department!PivotTable2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chemeClr val="bg1"/>
                </a:solidFill>
                <a:effectLst/>
              </a:rPr>
              <a:t>Average Salary by Department</a:t>
            </a:r>
            <a:endParaRPr lang="en-US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'Average Salary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Salary by Department'!$A$4:$A$10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'Average Salary by Department'!$B$4:$B$10</c:f>
              <c:numCache>
                <c:formatCode>"$"#,##0.00</c:formatCode>
                <c:ptCount val="6"/>
                <c:pt idx="0">
                  <c:v>147421.93548387097</c:v>
                </c:pt>
                <c:pt idx="1">
                  <c:v>141493.42857142858</c:v>
                </c:pt>
                <c:pt idx="2">
                  <c:v>146147.54430379748</c:v>
                </c:pt>
                <c:pt idx="3">
                  <c:v>140156</c:v>
                </c:pt>
                <c:pt idx="4">
                  <c:v>150629.33333333334</c:v>
                </c:pt>
                <c:pt idx="5">
                  <c:v>141845.8021978022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45784560"/>
        <c:axId val="745783384"/>
        <c:axId val="0"/>
      </c:bar3DChart>
      <c:catAx>
        <c:axId val="74578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783384"/>
        <c:crosses val="autoZero"/>
        <c:auto val="1"/>
        <c:lblAlgn val="ctr"/>
        <c:lblOffset val="100"/>
        <c:noMultiLvlLbl val="0"/>
      </c:catAx>
      <c:valAx>
        <c:axId val="745783384"/>
        <c:scaling>
          <c:orientation val="minMax"/>
        </c:scaling>
        <c:delete val="0"/>
        <c:axPos val="b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784560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Mahmoud.xlsx]Headcount by Department!PivotTable1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000" b="1" i="0" u="none" strike="noStrike" cap="none" normalizeH="0" baseline="0">
                <a:solidFill>
                  <a:schemeClr val="bg1"/>
                </a:solidFill>
                <a:effectLst/>
              </a:rPr>
              <a:t>Headcount by Department</a:t>
            </a:r>
            <a:endParaRPr lang="en-US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'Headcount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'Headcount by Department'!$A$4:$A$10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'Headcount by Department'!$B$4:$B$10</c:f>
              <c:numCache>
                <c:formatCode>General</c:formatCode>
                <c:ptCount val="6"/>
                <c:pt idx="0">
                  <c:v>93</c:v>
                </c:pt>
                <c:pt idx="1">
                  <c:v>84</c:v>
                </c:pt>
                <c:pt idx="2">
                  <c:v>79</c:v>
                </c:pt>
                <c:pt idx="3">
                  <c:v>81</c:v>
                </c:pt>
                <c:pt idx="4">
                  <c:v>72</c:v>
                </c:pt>
                <c:pt idx="5">
                  <c:v>91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686439008"/>
        <c:axId val="686444496"/>
      </c:barChart>
      <c:catAx>
        <c:axId val="68643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44496"/>
        <c:crosses val="autoZero"/>
        <c:auto val="1"/>
        <c:lblAlgn val="ctr"/>
        <c:lblOffset val="100"/>
        <c:noMultiLvlLbl val="0"/>
      </c:catAx>
      <c:valAx>
        <c:axId val="686444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43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Mahmoud.xlsx]Performance Distribution!PivotTable3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chemeClr val="bg1"/>
                </a:solidFill>
                <a:effectLst/>
              </a:rPr>
              <a:t>Performance Distribution</a:t>
            </a:r>
            <a:endParaRPr lang="en-US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'Performance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'Performance Distribution'!$A$4:$A$7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'Performance Distribution'!$B$4:$B$7</c:f>
              <c:numCache>
                <c:formatCode>0.00%</c:formatCode>
                <c:ptCount val="3"/>
                <c:pt idx="0">
                  <c:v>0.41399999999999998</c:v>
                </c:pt>
                <c:pt idx="1">
                  <c:v>0.42599999999999999</c:v>
                </c:pt>
                <c:pt idx="2">
                  <c:v>0.16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237654827107449"/>
          <c:y val="0.44307602737726981"/>
          <c:w val="0.14432018191160234"/>
          <c:h val="0.243700457159621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[Amr khaled Mahmoud.xlsx]Employees by Work Location!PivotTable5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solidFill>
                  <a:schemeClr val="bg1"/>
                </a:solidFill>
                <a:effectLst/>
              </a:rPr>
              <a:t>Employees by Work Location</a:t>
            </a:r>
            <a:endParaRPr lang="en-US">
              <a:solidFill>
                <a:schemeClr val="bg1"/>
              </a:solidFill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'Employees by Work Location'!$B$3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'Employees by Work Location'!$A$4:$A$7</c:f>
              <c:strCache>
                <c:ptCount val="3"/>
                <c:pt idx="0">
                  <c:v>Hybrid</c:v>
                </c:pt>
                <c:pt idx="1">
                  <c:v>Onsite</c:v>
                </c:pt>
                <c:pt idx="2">
                  <c:v>Remote</c:v>
                </c:pt>
              </c:strCache>
            </c:strRef>
          </c:cat>
          <c:val>
            <c:numRef>
              <c:f>'Employees by Work Location'!$B$4:$B$7</c:f>
              <c:numCache>
                <c:formatCode>0.00%</c:formatCode>
                <c:ptCount val="3"/>
                <c:pt idx="0">
                  <c:v>0.314</c:v>
                </c:pt>
                <c:pt idx="1">
                  <c:v>0.35199999999999998</c:v>
                </c:pt>
                <c:pt idx="2">
                  <c:v>0.33400000000000002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175260</xdr:rowOff>
    </xdr:from>
    <xdr:to>
      <xdr:col>13</xdr:col>
      <xdr:colOff>7620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15240</xdr:rowOff>
    </xdr:from>
    <xdr:to>
      <xdr:col>10</xdr:col>
      <xdr:colOff>312420</xdr:colOff>
      <xdr:row>17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0</xdr:rowOff>
    </xdr:from>
    <xdr:to>
      <xdr:col>10</xdr:col>
      <xdr:colOff>297180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2</xdr:row>
      <xdr:rowOff>152400</xdr:rowOff>
    </xdr:from>
    <xdr:to>
      <xdr:col>11</xdr:col>
      <xdr:colOff>358140</xdr:colOff>
      <xdr:row>17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1</xdr:row>
      <xdr:rowOff>175260</xdr:rowOff>
    </xdr:from>
    <xdr:to>
      <xdr:col>12</xdr:col>
      <xdr:colOff>510540</xdr:colOff>
      <xdr:row>18</xdr:row>
      <xdr:rowOff>91440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377736</xdr:colOff>
      <xdr:row>1</xdr:row>
      <xdr:rowOff>137160</xdr:rowOff>
    </xdr:from>
    <xdr:ext cx="5038687" cy="478208"/>
    <xdr:sp macro="" textlink="">
      <xdr:nvSpPr>
        <xdr:cNvPr id="2" name="TextBox 1"/>
        <xdr:cNvSpPr txBox="1"/>
      </xdr:nvSpPr>
      <xdr:spPr>
        <a:xfrm>
          <a:off x="4035336" y="322217"/>
          <a:ext cx="5038687" cy="4782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600" b="1" i="0">
              <a:solidFill>
                <a:schemeClr val="bg1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Human Resources </a:t>
          </a:r>
          <a:r>
            <a:rPr lang="en-US" sz="2600" b="1" i="0" baseline="0">
              <a:solidFill>
                <a:schemeClr val="bg1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Dashboard</a:t>
          </a:r>
          <a:endParaRPr lang="en-US" sz="2600" i="0">
            <a:solidFill>
              <a:schemeClr val="bg1"/>
            </a:solidFill>
            <a:latin typeface="Arial Rounded MT Bold" panose="020F0704030504030204" pitchFamily="34" charset="0"/>
          </a:endParaRPr>
        </a:p>
      </xdr:txBody>
    </xdr:sp>
    <xdr:clientData/>
  </xdr:oneCellAnchor>
  <xdr:twoCellAnchor>
    <xdr:from>
      <xdr:col>6</xdr:col>
      <xdr:colOff>133896</xdr:colOff>
      <xdr:row>1</xdr:row>
      <xdr:rowOff>53340</xdr:rowOff>
    </xdr:from>
    <xdr:to>
      <xdr:col>15</xdr:col>
      <xdr:colOff>139338</xdr:colOff>
      <xdr:row>5</xdr:row>
      <xdr:rowOff>30480</xdr:rowOff>
    </xdr:to>
    <xdr:sp macro="" textlink="">
      <xdr:nvSpPr>
        <xdr:cNvPr id="3" name="Rounded Rectangle 2"/>
        <xdr:cNvSpPr/>
      </xdr:nvSpPr>
      <xdr:spPr>
        <a:xfrm>
          <a:off x="3791496" y="238397"/>
          <a:ext cx="5491842" cy="717369"/>
        </a:xfrm>
        <a:prstGeom prst="roundRect">
          <a:avLst/>
        </a:prstGeom>
        <a:noFill/>
        <a:ln>
          <a:solidFill>
            <a:srgbClr val="99FF33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500743</xdr:colOff>
      <xdr:row>8</xdr:row>
      <xdr:rowOff>54428</xdr:rowOff>
    </xdr:from>
    <xdr:to>
      <xdr:col>4</xdr:col>
      <xdr:colOff>228600</xdr:colOff>
      <xdr:row>12</xdr:row>
      <xdr:rowOff>112088</xdr:rowOff>
    </xdr:to>
    <xdr:sp macro="" textlink="">
      <xdr:nvSpPr>
        <xdr:cNvPr id="5" name="Rounded Rectangle 4"/>
        <xdr:cNvSpPr/>
      </xdr:nvSpPr>
      <xdr:spPr>
        <a:xfrm>
          <a:off x="500743" y="1488781"/>
          <a:ext cx="2166257" cy="774836"/>
        </a:xfrm>
        <a:prstGeom prst="roundRect">
          <a:avLst/>
        </a:prstGeom>
        <a:noFill/>
        <a:ln>
          <a:solidFill>
            <a:srgbClr val="99FF33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600612</xdr:colOff>
      <xdr:row>8</xdr:row>
      <xdr:rowOff>50643</xdr:rowOff>
    </xdr:from>
    <xdr:to>
      <xdr:col>8</xdr:col>
      <xdr:colOff>328469</xdr:colOff>
      <xdr:row>12</xdr:row>
      <xdr:rowOff>108853</xdr:rowOff>
    </xdr:to>
    <xdr:sp macro="" textlink="">
      <xdr:nvSpPr>
        <xdr:cNvPr id="7" name="Rounded Rectangle 6"/>
        <xdr:cNvSpPr/>
      </xdr:nvSpPr>
      <xdr:spPr>
        <a:xfrm>
          <a:off x="3039012" y="1531100"/>
          <a:ext cx="2166257" cy="798439"/>
        </a:xfrm>
        <a:prstGeom prst="roundRect">
          <a:avLst/>
        </a:prstGeom>
        <a:noFill/>
        <a:ln>
          <a:solidFill>
            <a:srgbClr val="99FF33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165180</xdr:colOff>
      <xdr:row>8</xdr:row>
      <xdr:rowOff>50645</xdr:rowOff>
    </xdr:from>
    <xdr:to>
      <xdr:col>12</xdr:col>
      <xdr:colOff>502637</xdr:colOff>
      <xdr:row>12</xdr:row>
      <xdr:rowOff>108855</xdr:rowOff>
    </xdr:to>
    <xdr:sp macro="" textlink="">
      <xdr:nvSpPr>
        <xdr:cNvPr id="8" name="Rounded Rectangle 7"/>
        <xdr:cNvSpPr/>
      </xdr:nvSpPr>
      <xdr:spPr>
        <a:xfrm>
          <a:off x="5651580" y="1531102"/>
          <a:ext cx="2166257" cy="798439"/>
        </a:xfrm>
        <a:prstGeom prst="roundRect">
          <a:avLst/>
        </a:prstGeom>
        <a:noFill/>
        <a:ln>
          <a:solidFill>
            <a:srgbClr val="99FF33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263633</xdr:colOff>
      <xdr:row>8</xdr:row>
      <xdr:rowOff>50647</xdr:rowOff>
    </xdr:from>
    <xdr:to>
      <xdr:col>16</xdr:col>
      <xdr:colOff>601090</xdr:colOff>
      <xdr:row>12</xdr:row>
      <xdr:rowOff>108857</xdr:rowOff>
    </xdr:to>
    <xdr:sp macro="" textlink="">
      <xdr:nvSpPr>
        <xdr:cNvPr id="9" name="Rounded Rectangle 8"/>
        <xdr:cNvSpPr/>
      </xdr:nvSpPr>
      <xdr:spPr>
        <a:xfrm>
          <a:off x="8188433" y="1531104"/>
          <a:ext cx="2166257" cy="798439"/>
        </a:xfrm>
        <a:prstGeom prst="roundRect">
          <a:avLst/>
        </a:prstGeom>
        <a:noFill/>
        <a:ln>
          <a:solidFill>
            <a:srgbClr val="99FF33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326577</xdr:colOff>
      <xdr:row>8</xdr:row>
      <xdr:rowOff>50649</xdr:rowOff>
    </xdr:from>
    <xdr:to>
      <xdr:col>21</xdr:col>
      <xdr:colOff>54434</xdr:colOff>
      <xdr:row>12</xdr:row>
      <xdr:rowOff>108859</xdr:rowOff>
    </xdr:to>
    <xdr:sp macro="" textlink="">
      <xdr:nvSpPr>
        <xdr:cNvPr id="10" name="Rounded Rectangle 9"/>
        <xdr:cNvSpPr/>
      </xdr:nvSpPr>
      <xdr:spPr>
        <a:xfrm>
          <a:off x="10689777" y="1531106"/>
          <a:ext cx="2166257" cy="798439"/>
        </a:xfrm>
        <a:prstGeom prst="roundRect">
          <a:avLst/>
        </a:prstGeom>
        <a:noFill/>
        <a:ln>
          <a:solidFill>
            <a:srgbClr val="99FF33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92293</xdr:colOff>
      <xdr:row>8</xdr:row>
      <xdr:rowOff>51116</xdr:rowOff>
    </xdr:from>
    <xdr:ext cx="1729320" cy="374141"/>
    <xdr:sp macro="" textlink="">
      <xdr:nvSpPr>
        <xdr:cNvPr id="11" name="TextBox 10"/>
        <xdr:cNvSpPr txBox="1"/>
      </xdr:nvSpPr>
      <xdr:spPr>
        <a:xfrm>
          <a:off x="701893" y="1535359"/>
          <a:ext cx="172932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chemeClr val="bg1"/>
              </a:solidFill>
              <a:effectLst/>
              <a:latin typeface="+mj-lt"/>
              <a:ea typeface="+mn-ea"/>
              <a:cs typeface="+mn-cs"/>
            </a:rPr>
            <a:t>Total Employees</a:t>
          </a:r>
          <a:endParaRPr lang="en-US" sz="1800" b="1">
            <a:solidFill>
              <a:schemeClr val="bg1"/>
            </a:solidFill>
            <a:latin typeface="+mj-lt"/>
          </a:endParaRPr>
        </a:p>
      </xdr:txBody>
    </xdr:sp>
    <xdr:clientData/>
  </xdr:oneCellAnchor>
  <xdr:oneCellAnchor>
    <xdr:from>
      <xdr:col>5</xdr:col>
      <xdr:colOff>337458</xdr:colOff>
      <xdr:row>8</xdr:row>
      <xdr:rowOff>51118</xdr:rowOff>
    </xdr:from>
    <xdr:ext cx="1502399" cy="374141"/>
    <xdr:sp macro="" textlink="">
      <xdr:nvSpPr>
        <xdr:cNvPr id="13" name="TextBox 12"/>
        <xdr:cNvSpPr txBox="1"/>
      </xdr:nvSpPr>
      <xdr:spPr>
        <a:xfrm>
          <a:off x="3385458" y="1535361"/>
          <a:ext cx="150239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chemeClr val="bg1"/>
              </a:solidFill>
              <a:effectLst/>
              <a:latin typeface="+mj-lt"/>
              <a:ea typeface="+mn-ea"/>
              <a:cs typeface="+mn-cs"/>
            </a:rPr>
            <a:t>Average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800" b="1">
              <a:solidFill>
                <a:schemeClr val="bg1"/>
              </a:solidFill>
              <a:effectLst/>
              <a:latin typeface="+mj-lt"/>
              <a:ea typeface="+mn-ea"/>
              <a:cs typeface="+mn-cs"/>
            </a:rPr>
            <a:t>Salary</a:t>
          </a:r>
        </a:p>
      </xdr:txBody>
    </xdr:sp>
    <xdr:clientData/>
  </xdr:oneCellAnchor>
  <xdr:oneCellAnchor>
    <xdr:from>
      <xdr:col>9</xdr:col>
      <xdr:colOff>222258</xdr:colOff>
      <xdr:row>8</xdr:row>
      <xdr:rowOff>51120</xdr:rowOff>
    </xdr:from>
    <xdr:ext cx="2053832" cy="374141"/>
    <xdr:sp macro="" textlink="">
      <xdr:nvSpPr>
        <xdr:cNvPr id="14" name="TextBox 13"/>
        <xdr:cNvSpPr txBox="1"/>
      </xdr:nvSpPr>
      <xdr:spPr>
        <a:xfrm>
          <a:off x="5708658" y="1504782"/>
          <a:ext cx="205383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chemeClr val="bg1"/>
              </a:solidFill>
              <a:effectLst/>
              <a:latin typeface="+mj-lt"/>
              <a:ea typeface="+mn-ea"/>
              <a:cs typeface="+mn-cs"/>
            </a:rPr>
            <a:t>Average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 b="1">
              <a:solidFill>
                <a:schemeClr val="bg1"/>
              </a:solidFill>
              <a:effectLst/>
              <a:latin typeface="+mj-lt"/>
              <a:ea typeface="+mn-ea"/>
              <a:cs typeface="+mn-cs"/>
            </a:rPr>
            <a:t>Performance</a:t>
          </a:r>
          <a:endParaRPr lang="en-US" sz="1400" b="1">
            <a:solidFill>
              <a:schemeClr val="bg1"/>
            </a:solidFill>
            <a:effectLst/>
            <a:latin typeface="+mj-lt"/>
            <a:ea typeface="+mn-ea"/>
            <a:cs typeface="+mn-cs"/>
          </a:endParaRPr>
        </a:p>
      </xdr:txBody>
    </xdr:sp>
    <xdr:clientData/>
  </xdr:oneCellAnchor>
  <xdr:oneCellAnchor>
    <xdr:from>
      <xdr:col>13</xdr:col>
      <xdr:colOff>310959</xdr:colOff>
      <xdr:row>8</xdr:row>
      <xdr:rowOff>51122</xdr:rowOff>
    </xdr:from>
    <xdr:ext cx="2076466" cy="374141"/>
    <xdr:sp macro="" textlink="">
      <xdr:nvSpPr>
        <xdr:cNvPr id="15" name="TextBox 14"/>
        <xdr:cNvSpPr txBox="1"/>
      </xdr:nvSpPr>
      <xdr:spPr>
        <a:xfrm>
          <a:off x="8235759" y="1535365"/>
          <a:ext cx="207646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chemeClr val="bg1"/>
              </a:solidFill>
              <a:effectLst/>
              <a:latin typeface="+mj-lt"/>
              <a:ea typeface="+mn-ea"/>
              <a:cs typeface="+mn-cs"/>
            </a:rPr>
            <a:t>Overtime Employees</a:t>
          </a:r>
        </a:p>
      </xdr:txBody>
    </xdr:sp>
    <xdr:clientData/>
  </xdr:oneCellAnchor>
  <xdr:oneCellAnchor>
    <xdr:from>
      <xdr:col>17</xdr:col>
      <xdr:colOff>509742</xdr:colOff>
      <xdr:row>8</xdr:row>
      <xdr:rowOff>64376</xdr:rowOff>
    </xdr:from>
    <xdr:ext cx="1813830" cy="374141"/>
    <xdr:sp macro="" textlink="">
      <xdr:nvSpPr>
        <xdr:cNvPr id="16" name="TextBox 15"/>
        <xdr:cNvSpPr txBox="1"/>
      </xdr:nvSpPr>
      <xdr:spPr>
        <a:xfrm>
          <a:off x="10872942" y="1548619"/>
          <a:ext cx="181383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chemeClr val="bg1"/>
              </a:solidFill>
              <a:effectLst/>
              <a:latin typeface="+mj-lt"/>
              <a:ea typeface="+mn-ea"/>
              <a:cs typeface="+mn-cs"/>
            </a:rPr>
            <a:t>Senior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800" b="1">
              <a:solidFill>
                <a:schemeClr val="bg1"/>
              </a:solidFill>
              <a:effectLst/>
              <a:latin typeface="+mj-lt"/>
              <a:ea typeface="+mn-ea"/>
              <a:cs typeface="+mn-cs"/>
            </a:rPr>
            <a:t>Employees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800" b="1">
            <a:solidFill>
              <a:schemeClr val="bg1"/>
            </a:solidFill>
            <a:effectLst/>
            <a:latin typeface="+mj-lt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48665</xdr:colOff>
      <xdr:row>10</xdr:row>
      <xdr:rowOff>24973</xdr:rowOff>
    </xdr:from>
    <xdr:ext cx="554960" cy="374141"/>
    <xdr:sp macro="" textlink="KPI!F9">
      <xdr:nvSpPr>
        <xdr:cNvPr id="12" name="TextBox 11"/>
        <xdr:cNvSpPr txBox="1"/>
      </xdr:nvSpPr>
      <xdr:spPr>
        <a:xfrm>
          <a:off x="1267865" y="1817914"/>
          <a:ext cx="5549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871DC037-C47F-432B-B72C-783397B97FB6}" type="TxLink">
            <a:rPr lang="en-US" sz="1800" b="1" i="0" u="none" strike="noStrike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Calibri"/>
              <a:ea typeface="Calibri"/>
              <a:cs typeface="Calibri"/>
            </a:rPr>
            <a:t>500</a:t>
          </a:fld>
          <a:endParaRPr lang="en-US" sz="1800" b="1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oneCellAnchor>
    <xdr:from>
      <xdr:col>5</xdr:col>
      <xdr:colOff>371397</xdr:colOff>
      <xdr:row>10</xdr:row>
      <xdr:rowOff>24972</xdr:rowOff>
    </xdr:from>
    <xdr:ext cx="1429559" cy="374141"/>
    <xdr:sp macro="" textlink="KPI!F10">
      <xdr:nvSpPr>
        <xdr:cNvPr id="18" name="TextBox 17"/>
        <xdr:cNvSpPr txBox="1"/>
      </xdr:nvSpPr>
      <xdr:spPr>
        <a:xfrm>
          <a:off x="3419397" y="1817913"/>
          <a:ext cx="142955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fld id="{63CD3FD4-6F1C-4C3B-BA8C-78540B1BA408}" type="TxLink">
            <a:rPr lang="en-US" sz="1800" b="1" i="0" u="none" strike="noStrike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Calibri"/>
              <a:ea typeface="Calibri"/>
              <a:cs typeface="Calibri"/>
            </a:rPr>
            <a:pPr marL="0" indent="0"/>
            <a:t>$144,494.52</a:t>
          </a:fld>
          <a:endParaRPr lang="en-US" sz="1800" b="1" i="0" u="none" strike="noStrike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10</xdr:col>
      <xdr:colOff>210034</xdr:colOff>
      <xdr:row>10</xdr:row>
      <xdr:rowOff>24972</xdr:rowOff>
    </xdr:from>
    <xdr:ext cx="746486" cy="374141"/>
    <xdr:sp macro="" textlink="KPI!F11">
      <xdr:nvSpPr>
        <xdr:cNvPr id="19" name="TextBox 18"/>
        <xdr:cNvSpPr txBox="1"/>
      </xdr:nvSpPr>
      <xdr:spPr>
        <a:xfrm>
          <a:off x="6306034" y="1817913"/>
          <a:ext cx="74648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fld id="{134BE69B-C4AC-4F88-97ED-F9B89AF98384}" type="TxLink">
            <a:rPr lang="en-US" sz="1800" b="1" i="0" u="none" strike="noStrike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Calibri"/>
              <a:ea typeface="Calibri"/>
              <a:cs typeface="Calibri"/>
            </a:rPr>
            <a:pPr marL="0" indent="0"/>
            <a:t>2.978</a:t>
          </a:fld>
          <a:endParaRPr lang="en-US" sz="1800" b="1" i="0" u="none" strike="noStrike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14</xdr:col>
      <xdr:colOff>281753</xdr:colOff>
      <xdr:row>10</xdr:row>
      <xdr:rowOff>24973</xdr:rowOff>
    </xdr:from>
    <xdr:ext cx="921150" cy="374141"/>
    <xdr:sp macro="" textlink="KPI!F12">
      <xdr:nvSpPr>
        <xdr:cNvPr id="20" name="TextBox 19"/>
        <xdr:cNvSpPr txBox="1"/>
      </xdr:nvSpPr>
      <xdr:spPr>
        <a:xfrm>
          <a:off x="8816153" y="1817914"/>
          <a:ext cx="92115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fld id="{66CCB260-76F7-45F6-B67E-B55DF96A6D8B}" type="TxLink">
            <a:rPr lang="en-US" sz="1800" b="1" i="0" u="none" strike="noStrike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Calibri"/>
              <a:ea typeface="Calibri"/>
              <a:cs typeface="Calibri"/>
            </a:rPr>
            <a:pPr marL="0" indent="0"/>
            <a:t>49.80%</a:t>
          </a:fld>
          <a:endParaRPr lang="en-US" sz="1800" b="1" i="0" u="none" strike="noStrike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  <a:latin typeface="Calibri"/>
            <a:ea typeface="Calibri"/>
            <a:cs typeface="Calibri"/>
          </a:endParaRPr>
        </a:p>
      </xdr:txBody>
    </xdr:sp>
    <xdr:clientData/>
  </xdr:oneCellAnchor>
  <xdr:oneCellAnchor>
    <xdr:from>
      <xdr:col>18</xdr:col>
      <xdr:colOff>326577</xdr:colOff>
      <xdr:row>10</xdr:row>
      <xdr:rowOff>24973</xdr:rowOff>
    </xdr:from>
    <xdr:ext cx="921150" cy="374141"/>
    <xdr:sp macro="" textlink="KPI!F13">
      <xdr:nvSpPr>
        <xdr:cNvPr id="21" name="TextBox 20"/>
        <xdr:cNvSpPr txBox="1"/>
      </xdr:nvSpPr>
      <xdr:spPr>
        <a:xfrm>
          <a:off x="11299377" y="1817914"/>
          <a:ext cx="92115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fld id="{FEBD230A-3AC9-42BE-9710-98A984488234}" type="TxLink">
            <a:rPr lang="en-US" sz="1800" b="1" i="0" u="none" strike="noStrike" cap="none" spc="50">
              <a:ln w="9525" cmpd="sng">
                <a:solidFill>
                  <a:schemeClr val="accent1"/>
                </a:solidFill>
                <a:prstDash val="solid"/>
              </a:ln>
              <a:solidFill>
                <a:srgbClr val="70AD47">
                  <a:tint val="1000"/>
                </a:srgb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  <a:latin typeface="Calibri"/>
              <a:ea typeface="Calibri"/>
              <a:cs typeface="Calibri"/>
            </a:rPr>
            <a:pPr marL="0" indent="0"/>
            <a:t>45.60%</a:t>
          </a:fld>
          <a:endParaRPr lang="en-US" sz="1800" b="1" i="0" u="none" strike="noStrike" cap="none" spc="50">
            <a:ln w="9525" cmpd="sng">
              <a:solidFill>
                <a:schemeClr val="accent1"/>
              </a:solidFill>
              <a:prstDash val="solid"/>
            </a:ln>
            <a:solidFill>
              <a:srgbClr val="70AD47">
                <a:tint val="1000"/>
              </a:srgbClr>
            </a:solidFill>
            <a:effectLst>
              <a:glow rad="38100">
                <a:schemeClr val="accent1">
                  <a:alpha val="40000"/>
                </a:schemeClr>
              </a:glow>
            </a:effectLst>
            <a:latin typeface="Calibri"/>
            <a:ea typeface="Calibri"/>
            <a:cs typeface="Calibri"/>
          </a:endParaRPr>
        </a:p>
      </xdr:txBody>
    </xdr:sp>
    <xdr:clientData/>
  </xdr:oneCellAnchor>
  <xdr:twoCellAnchor>
    <xdr:from>
      <xdr:col>1</xdr:col>
      <xdr:colOff>55418</xdr:colOff>
      <xdr:row>41</xdr:row>
      <xdr:rowOff>105979</xdr:rowOff>
    </xdr:from>
    <xdr:to>
      <xdr:col>9</xdr:col>
      <xdr:colOff>403761</xdr:colOff>
      <xdr:row>75</xdr:row>
      <xdr:rowOff>149130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125187</xdr:colOff>
      <xdr:row>18</xdr:row>
      <xdr:rowOff>122462</xdr:rowOff>
    </xdr:from>
    <xdr:to>
      <xdr:col>13</xdr:col>
      <xdr:colOff>431606</xdr:colOff>
      <xdr:row>33</xdr:row>
      <xdr:rowOff>176892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49654</xdr:colOff>
      <xdr:row>39</xdr:row>
      <xdr:rowOff>177140</xdr:rowOff>
    </xdr:from>
    <xdr:to>
      <xdr:col>20</xdr:col>
      <xdr:colOff>307028</xdr:colOff>
      <xdr:row>57</xdr:row>
      <xdr:rowOff>20600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267345</xdr:colOff>
      <xdr:row>19</xdr:row>
      <xdr:rowOff>46264</xdr:rowOff>
    </xdr:from>
    <xdr:to>
      <xdr:col>21</xdr:col>
      <xdr:colOff>116430</xdr:colOff>
      <xdr:row>33</xdr:row>
      <xdr:rowOff>87085</xdr:rowOff>
    </xdr:to>
    <xdr:graphicFrame macro="">
      <xdr:nvGraphicFramePr>
        <xdr:cNvPr id="25" name="Chart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290945</xdr:colOff>
      <xdr:row>61</xdr:row>
      <xdr:rowOff>69272</xdr:rowOff>
    </xdr:from>
    <xdr:to>
      <xdr:col>20</xdr:col>
      <xdr:colOff>443345</xdr:colOff>
      <xdr:row>77</xdr:row>
      <xdr:rowOff>166254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141514</xdr:colOff>
      <xdr:row>39</xdr:row>
      <xdr:rowOff>152400</xdr:rowOff>
    </xdr:from>
    <xdr:to>
      <xdr:col>21</xdr:col>
      <xdr:colOff>35384</xdr:colOff>
      <xdr:row>58</xdr:row>
      <xdr:rowOff>43543</xdr:rowOff>
    </xdr:to>
    <xdr:sp macro="" textlink="">
      <xdr:nvSpPr>
        <xdr:cNvPr id="17" name="Rounded Rectangle 16"/>
        <xdr:cNvSpPr/>
      </xdr:nvSpPr>
      <xdr:spPr>
        <a:xfrm>
          <a:off x="6847114" y="7369629"/>
          <a:ext cx="5989870" cy="3407228"/>
        </a:xfrm>
        <a:prstGeom prst="roundRect">
          <a:avLst/>
        </a:prstGeom>
        <a:noFill/>
        <a:ln>
          <a:solidFill>
            <a:srgbClr val="99FF33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457200</xdr:colOff>
      <xdr:row>18</xdr:row>
      <xdr:rowOff>41564</xdr:rowOff>
    </xdr:from>
    <xdr:to>
      <xdr:col>14</xdr:col>
      <xdr:colOff>57150</xdr:colOff>
      <xdr:row>34</xdr:row>
      <xdr:rowOff>121228</xdr:rowOff>
    </xdr:to>
    <xdr:sp macro="" textlink="">
      <xdr:nvSpPr>
        <xdr:cNvPr id="28" name="Rounded Rectangle 27"/>
        <xdr:cNvSpPr/>
      </xdr:nvSpPr>
      <xdr:spPr>
        <a:xfrm>
          <a:off x="457200" y="3470564"/>
          <a:ext cx="8134350" cy="3127664"/>
        </a:xfrm>
        <a:prstGeom prst="roundRect">
          <a:avLst/>
        </a:prstGeom>
        <a:noFill/>
        <a:ln>
          <a:solidFill>
            <a:srgbClr val="99FF33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26253</xdr:colOff>
      <xdr:row>18</xdr:row>
      <xdr:rowOff>57150</xdr:rowOff>
    </xdr:from>
    <xdr:to>
      <xdr:col>21</xdr:col>
      <xdr:colOff>11848</xdr:colOff>
      <xdr:row>34</xdr:row>
      <xdr:rowOff>136814</xdr:rowOff>
    </xdr:to>
    <xdr:sp macro="" textlink="">
      <xdr:nvSpPr>
        <xdr:cNvPr id="29" name="Rounded Rectangle 28"/>
        <xdr:cNvSpPr/>
      </xdr:nvSpPr>
      <xdr:spPr>
        <a:xfrm>
          <a:off x="9170253" y="3486150"/>
          <a:ext cx="3643195" cy="3127664"/>
        </a:xfrm>
        <a:prstGeom prst="roundRect">
          <a:avLst/>
        </a:prstGeom>
        <a:noFill/>
        <a:ln>
          <a:solidFill>
            <a:srgbClr val="99FF33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476250</xdr:colOff>
      <xdr:row>39</xdr:row>
      <xdr:rowOff>152400</xdr:rowOff>
    </xdr:from>
    <xdr:to>
      <xdr:col>10</xdr:col>
      <xdr:colOff>95250</xdr:colOff>
      <xdr:row>78</xdr:row>
      <xdr:rowOff>152400</xdr:rowOff>
    </xdr:to>
    <xdr:sp macro="" textlink="">
      <xdr:nvSpPr>
        <xdr:cNvPr id="30" name="Rounded Rectangle 29"/>
        <xdr:cNvSpPr/>
      </xdr:nvSpPr>
      <xdr:spPr>
        <a:xfrm>
          <a:off x="476250" y="7581900"/>
          <a:ext cx="5715000" cy="7429500"/>
        </a:xfrm>
        <a:prstGeom prst="roundRect">
          <a:avLst/>
        </a:prstGeom>
        <a:noFill/>
        <a:ln>
          <a:solidFill>
            <a:srgbClr val="99FF33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103414</xdr:colOff>
      <xdr:row>60</xdr:row>
      <xdr:rowOff>65859</xdr:rowOff>
    </xdr:from>
    <xdr:to>
      <xdr:col>20</xdr:col>
      <xdr:colOff>606884</xdr:colOff>
      <xdr:row>78</xdr:row>
      <xdr:rowOff>155122</xdr:rowOff>
    </xdr:to>
    <xdr:sp macro="" textlink="">
      <xdr:nvSpPr>
        <xdr:cNvPr id="32" name="Rounded Rectangle 31"/>
        <xdr:cNvSpPr/>
      </xdr:nvSpPr>
      <xdr:spPr>
        <a:xfrm>
          <a:off x="6809014" y="11495859"/>
          <a:ext cx="5989870" cy="3518263"/>
        </a:xfrm>
        <a:prstGeom prst="roundRect">
          <a:avLst/>
        </a:prstGeom>
        <a:noFill/>
        <a:ln>
          <a:solidFill>
            <a:srgbClr val="99FF33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mr alshaatt" refreshedDate="46060.060878009259" createdVersion="5" refreshedVersion="5" minRefreshableVersion="3" recordCount="500">
  <cacheSource type="worksheet">
    <worksheetSource name="Table1"/>
  </cacheSource>
  <cacheFields count="16">
    <cacheField name="EmployeeID" numFmtId="1">
      <sharedItems containsSemiMixedTypes="0" containsString="0" containsNumber="1" containsInteger="1" minValue="1" maxValue="500"/>
    </cacheField>
    <cacheField name="HireDate" numFmtId="15">
      <sharedItems containsSemiMixedTypes="0" containsNonDate="0" containsDate="1" containsString="0" minDate="2010-01-16T00:00:00" maxDate="2023-08-12T00:00:00" count="484">
        <d v="2011-02-22T00:00:00"/>
        <d v="2016-03-01T00:00:00"/>
        <d v="2015-04-20T00:00:00"/>
        <d v="2019-07-06T00:00:00"/>
        <d v="2020-04-03T00:00:00"/>
        <d v="2018-08-20T00:00:00"/>
        <d v="2015-08-10T00:00:00"/>
        <d v="2013-12-07T00:00:00"/>
        <d v="2020-01-01T00:00:00"/>
        <d v="2018-04-12T00:00:00"/>
        <d v="2019-07-21T00:00:00"/>
        <d v="2013-05-28T00:00:00"/>
        <d v="2015-09-23T00:00:00"/>
        <d v="2019-05-04T00:00:00"/>
        <d v="2012-08-09T00:00:00"/>
        <d v="2010-05-15T00:00:00"/>
        <d v="2012-05-22T00:00:00"/>
        <d v="2011-04-09T00:00:00"/>
        <d v="2022-02-15T00:00:00"/>
        <d v="2010-02-14T00:00:00"/>
        <d v="2017-10-19T00:00:00"/>
        <d v="2015-09-11T00:00:00"/>
        <d v="2020-11-08T00:00:00"/>
        <d v="2023-05-10T00:00:00"/>
        <d v="2021-07-14T00:00:00"/>
        <d v="2019-04-13T00:00:00"/>
        <d v="2020-02-03T00:00:00"/>
        <d v="2019-02-10T00:00:00"/>
        <d v="2023-04-25T00:00:00"/>
        <d v="2018-10-19T00:00:00"/>
        <d v="2012-05-29T00:00:00"/>
        <d v="2019-03-04T00:00:00"/>
        <d v="2014-06-08T00:00:00"/>
        <d v="2019-06-17T00:00:00"/>
        <d v="2019-10-30T00:00:00"/>
        <d v="2018-09-05T00:00:00"/>
        <d v="2022-07-26T00:00:00"/>
        <d v="2017-06-26T00:00:00"/>
        <d v="2011-04-03T00:00:00"/>
        <d v="2012-08-01T00:00:00"/>
        <d v="2010-02-26T00:00:00"/>
        <d v="2019-09-29T00:00:00"/>
        <d v="2016-04-30T00:00:00"/>
        <d v="2010-10-30T00:00:00"/>
        <d v="2021-08-21T00:00:00"/>
        <d v="2023-08-08T00:00:00"/>
        <d v="2013-05-19T00:00:00"/>
        <d v="2014-04-24T00:00:00"/>
        <d v="2016-12-08T00:00:00"/>
        <d v="2019-08-28T00:00:00"/>
        <d v="2015-05-07T00:00:00"/>
        <d v="2010-11-26T00:00:00"/>
        <d v="2022-01-05T00:00:00"/>
        <d v="2013-11-06T00:00:00"/>
        <d v="2013-03-30T00:00:00"/>
        <d v="2011-03-22T00:00:00"/>
        <d v="2020-05-23T00:00:00"/>
        <d v="2017-04-03T00:00:00"/>
        <d v="2014-03-11T00:00:00"/>
        <d v="2010-10-24T00:00:00"/>
        <d v="2019-02-05T00:00:00"/>
        <d v="2021-01-09T00:00:00"/>
        <d v="2017-12-07T00:00:00"/>
        <d v="2010-03-24T00:00:00"/>
        <d v="2019-06-04T00:00:00"/>
        <d v="2012-03-21T00:00:00"/>
        <d v="2023-04-27T00:00:00"/>
        <d v="2012-01-04T00:00:00"/>
        <d v="2020-06-11T00:00:00"/>
        <d v="2023-08-11T00:00:00"/>
        <d v="2017-06-13T00:00:00"/>
        <d v="2016-02-05T00:00:00"/>
        <d v="2010-04-28T00:00:00"/>
        <d v="2021-08-01T00:00:00"/>
        <d v="2023-02-08T00:00:00"/>
        <d v="2020-01-05T00:00:00"/>
        <d v="2012-03-12T00:00:00"/>
        <d v="2019-09-26T00:00:00"/>
        <d v="2017-01-08T00:00:00"/>
        <d v="2019-02-28T00:00:00"/>
        <d v="2012-04-22T00:00:00"/>
        <d v="2023-02-23T00:00:00"/>
        <d v="2011-04-11T00:00:00"/>
        <d v="2020-12-23T00:00:00"/>
        <d v="2018-08-25T00:00:00"/>
        <d v="2016-11-15T00:00:00"/>
        <d v="2010-02-08T00:00:00"/>
        <d v="2017-10-22T00:00:00"/>
        <d v="2021-07-12T00:00:00"/>
        <d v="2014-06-25T00:00:00"/>
        <d v="2019-04-25T00:00:00"/>
        <d v="2022-07-17T00:00:00"/>
        <d v="2022-01-13T00:00:00"/>
        <d v="2013-04-26T00:00:00"/>
        <d v="2011-06-26T00:00:00"/>
        <d v="2021-01-03T00:00:00"/>
        <d v="2012-08-24T00:00:00"/>
        <d v="2021-08-12T00:00:00"/>
        <d v="2022-09-29T00:00:00"/>
        <d v="2015-05-20T00:00:00"/>
        <d v="2018-05-12T00:00:00"/>
        <d v="2019-06-27T00:00:00"/>
        <d v="2015-05-24T00:00:00"/>
        <d v="2016-03-21T00:00:00"/>
        <d v="2010-06-20T00:00:00"/>
        <d v="2019-11-19T00:00:00"/>
        <d v="2020-08-08T00:00:00"/>
        <d v="2020-11-23T00:00:00"/>
        <d v="2018-12-07T00:00:00"/>
        <d v="2013-12-20T00:00:00"/>
        <d v="2021-09-09T00:00:00"/>
        <d v="2011-05-24T00:00:00"/>
        <d v="2018-05-02T00:00:00"/>
        <d v="2017-09-11T00:00:00"/>
        <d v="2018-04-30T00:00:00"/>
        <d v="2011-05-12T00:00:00"/>
        <d v="2015-07-12T00:00:00"/>
        <d v="2018-06-27T00:00:00"/>
        <d v="2013-07-22T00:00:00"/>
        <d v="2011-04-10T00:00:00"/>
        <d v="2020-08-23T00:00:00"/>
        <d v="2021-06-01T00:00:00"/>
        <d v="2018-09-02T00:00:00"/>
        <d v="2015-03-02T00:00:00"/>
        <d v="2011-07-09T00:00:00"/>
        <d v="2022-06-06T00:00:00"/>
        <d v="2018-09-20T00:00:00"/>
        <d v="2020-10-15T00:00:00"/>
        <d v="2011-12-15T00:00:00"/>
        <d v="2011-05-05T00:00:00"/>
        <d v="2016-05-03T00:00:00"/>
        <d v="2020-05-11T00:00:00"/>
        <d v="2011-02-10T00:00:00"/>
        <d v="2014-09-25T00:00:00"/>
        <d v="2012-06-01T00:00:00"/>
        <d v="2015-01-06T00:00:00"/>
        <d v="2018-10-16T00:00:00"/>
        <d v="2018-11-16T00:00:00"/>
        <d v="2021-03-22T00:00:00"/>
        <d v="2017-07-22T00:00:00"/>
        <d v="2015-11-07T00:00:00"/>
        <d v="2018-06-29T00:00:00"/>
        <d v="2022-11-16T00:00:00"/>
        <d v="2012-02-02T00:00:00"/>
        <d v="2020-08-02T00:00:00"/>
        <d v="2012-09-11T00:00:00"/>
        <d v="2021-04-05T00:00:00"/>
        <d v="2018-07-30T00:00:00"/>
        <d v="2014-10-19T00:00:00"/>
        <d v="2020-07-24T00:00:00"/>
        <d v="2010-01-17T00:00:00"/>
        <d v="2014-09-24T00:00:00"/>
        <d v="2023-05-04T00:00:00"/>
        <d v="2014-02-16T00:00:00"/>
        <d v="2023-02-18T00:00:00"/>
        <d v="2011-12-29T00:00:00"/>
        <d v="2022-06-23T00:00:00"/>
        <d v="2021-12-10T00:00:00"/>
        <d v="2019-03-25T00:00:00"/>
        <d v="2018-05-04T00:00:00"/>
        <d v="2012-03-02T00:00:00"/>
        <d v="2023-08-07T00:00:00"/>
        <d v="2019-03-28T00:00:00"/>
        <d v="2017-06-02T00:00:00"/>
        <d v="2022-12-28T00:00:00"/>
        <d v="2011-08-10T00:00:00"/>
        <d v="2022-05-14T00:00:00"/>
        <d v="2022-03-22T00:00:00"/>
        <d v="2014-11-24T00:00:00"/>
        <d v="2015-06-24T00:00:00"/>
        <d v="2016-06-06T00:00:00"/>
        <d v="2023-04-18T00:00:00"/>
        <d v="2019-01-24T00:00:00"/>
        <d v="2018-10-27T00:00:00"/>
        <d v="2014-05-30T00:00:00"/>
        <d v="2023-05-01T00:00:00"/>
        <d v="2023-05-25T00:00:00"/>
        <d v="2021-07-15T00:00:00"/>
        <d v="2010-11-09T00:00:00"/>
        <d v="2012-07-13T00:00:00"/>
        <d v="2012-01-12T00:00:00"/>
        <d v="2020-12-14T00:00:00"/>
        <d v="2023-02-20T00:00:00"/>
        <d v="2012-05-13T00:00:00"/>
        <d v="2021-06-30T00:00:00"/>
        <d v="2021-12-23T00:00:00"/>
        <d v="2020-09-22T00:00:00"/>
        <d v="2016-09-29T00:00:00"/>
        <d v="2015-05-22T00:00:00"/>
        <d v="2023-04-29T00:00:00"/>
        <d v="2019-10-15T00:00:00"/>
        <d v="2022-01-18T00:00:00"/>
        <d v="2022-09-24T00:00:00"/>
        <d v="2011-01-12T00:00:00"/>
        <d v="2023-06-04T00:00:00"/>
        <d v="2011-08-07T00:00:00"/>
        <d v="2023-04-23T00:00:00"/>
        <d v="2021-08-22T00:00:00"/>
        <d v="2014-07-20T00:00:00"/>
        <d v="2016-11-23T00:00:00"/>
        <d v="2019-12-18T00:00:00"/>
        <d v="2013-07-01T00:00:00"/>
        <d v="2022-12-04T00:00:00"/>
        <d v="2023-07-02T00:00:00"/>
        <d v="2022-08-22T00:00:00"/>
        <d v="2018-04-19T00:00:00"/>
        <d v="2017-10-12T00:00:00"/>
        <d v="2017-10-02T00:00:00"/>
        <d v="2022-07-13T00:00:00"/>
        <d v="2018-10-23T00:00:00"/>
        <d v="2015-10-14T00:00:00"/>
        <d v="2013-09-30T00:00:00"/>
        <d v="2017-05-14T00:00:00"/>
        <d v="2016-02-18T00:00:00"/>
        <d v="2020-02-09T00:00:00"/>
        <d v="2023-06-24T00:00:00"/>
        <d v="2021-06-11T00:00:00"/>
        <d v="2023-05-08T00:00:00"/>
        <d v="2017-06-23T00:00:00"/>
        <d v="2016-05-31T00:00:00"/>
        <d v="2018-12-30T00:00:00"/>
        <d v="2012-06-17T00:00:00"/>
        <d v="2022-04-19T00:00:00"/>
        <d v="2017-01-27T00:00:00"/>
        <d v="2014-12-02T00:00:00"/>
        <d v="2018-05-07T00:00:00"/>
        <d v="2015-07-13T00:00:00"/>
        <d v="2014-12-01T00:00:00"/>
        <d v="2018-08-28T00:00:00"/>
        <d v="2021-12-18T00:00:00"/>
        <d v="2018-08-18T00:00:00"/>
        <d v="2021-02-09T00:00:00"/>
        <d v="2011-08-02T00:00:00"/>
        <d v="2020-07-04T00:00:00"/>
        <d v="2020-11-19T00:00:00"/>
        <d v="2011-11-28T00:00:00"/>
        <d v="2021-12-01T00:00:00"/>
        <d v="2014-03-28T00:00:00"/>
        <d v="2015-12-24T00:00:00"/>
        <d v="2021-02-25T00:00:00"/>
        <d v="2019-05-02T00:00:00"/>
        <d v="2016-02-17T00:00:00"/>
        <d v="2016-08-29T00:00:00"/>
        <d v="2021-07-24T00:00:00"/>
        <d v="2022-08-28T00:00:00"/>
        <d v="2016-12-23T00:00:00"/>
        <d v="2021-11-10T00:00:00"/>
        <d v="2012-07-06T00:00:00"/>
        <d v="2017-01-14T00:00:00"/>
        <d v="2019-02-23T00:00:00"/>
        <d v="2020-11-26T00:00:00"/>
        <d v="2023-06-14T00:00:00"/>
        <d v="2015-05-06T00:00:00"/>
        <d v="2022-04-06T00:00:00"/>
        <d v="2021-08-29T00:00:00"/>
        <d v="2014-04-01T00:00:00"/>
        <d v="2011-05-26T00:00:00"/>
        <d v="2019-08-07T00:00:00"/>
        <d v="2015-10-05T00:00:00"/>
        <d v="2022-08-23T00:00:00"/>
        <d v="2020-09-08T00:00:00"/>
        <d v="2019-04-10T00:00:00"/>
        <d v="2020-03-31T00:00:00"/>
        <d v="2021-07-16T00:00:00"/>
        <d v="2012-05-14T00:00:00"/>
        <d v="2016-10-07T00:00:00"/>
        <d v="2017-07-03T00:00:00"/>
        <d v="2023-05-02T00:00:00"/>
        <d v="2011-03-23T00:00:00"/>
        <d v="2023-07-11T00:00:00"/>
        <d v="2012-07-16T00:00:00"/>
        <d v="2020-06-25T00:00:00"/>
        <d v="2021-06-20T00:00:00"/>
        <d v="2015-02-03T00:00:00"/>
        <d v="2015-11-28T00:00:00"/>
        <d v="2014-02-05T00:00:00"/>
        <d v="2018-11-21T00:00:00"/>
        <d v="2020-11-27T00:00:00"/>
        <d v="2015-05-28T00:00:00"/>
        <d v="2014-07-26T00:00:00"/>
        <d v="2015-03-21T00:00:00"/>
        <d v="2020-02-26T00:00:00"/>
        <d v="2016-11-05T00:00:00"/>
        <d v="2016-06-15T00:00:00"/>
        <d v="2020-07-30T00:00:00"/>
        <d v="2010-03-09T00:00:00"/>
        <d v="2019-09-21T00:00:00"/>
        <d v="2011-01-01T00:00:00"/>
        <d v="2010-12-25T00:00:00"/>
        <d v="2016-03-24T00:00:00"/>
        <d v="2019-07-24T00:00:00"/>
        <d v="2011-05-17T00:00:00"/>
        <d v="2018-01-17T00:00:00"/>
        <d v="2010-07-15T00:00:00"/>
        <d v="2011-06-17T00:00:00"/>
        <d v="2017-05-11T00:00:00"/>
        <d v="2013-09-22T00:00:00"/>
        <d v="2020-08-22T00:00:00"/>
        <d v="2010-01-16T00:00:00"/>
        <d v="2022-06-05T00:00:00"/>
        <d v="2016-07-16T00:00:00"/>
        <d v="2017-03-04T00:00:00"/>
        <d v="2010-11-23T00:00:00"/>
        <d v="2021-06-17T00:00:00"/>
        <d v="2019-10-18T00:00:00"/>
        <d v="2013-03-18T00:00:00"/>
        <d v="2015-01-23T00:00:00"/>
        <d v="2020-11-29T00:00:00"/>
        <d v="2014-03-18T00:00:00"/>
        <d v="2011-09-18T00:00:00"/>
        <d v="2022-12-12T00:00:00"/>
        <d v="2021-10-09T00:00:00"/>
        <d v="2015-05-27T00:00:00"/>
        <d v="2011-06-27T00:00:00"/>
        <d v="2018-10-28T00:00:00"/>
        <d v="2010-09-05T00:00:00"/>
        <d v="2018-10-01T00:00:00"/>
        <d v="2015-10-08T00:00:00"/>
        <d v="2013-07-16T00:00:00"/>
        <d v="2021-04-29T00:00:00"/>
        <d v="2015-03-05T00:00:00"/>
        <d v="2014-12-04T00:00:00"/>
        <d v="2011-02-27T00:00:00"/>
        <d v="2016-03-11T00:00:00"/>
        <d v="2022-05-06T00:00:00"/>
        <d v="2015-09-10T00:00:00"/>
        <d v="2020-08-09T00:00:00"/>
        <d v="2012-01-06T00:00:00"/>
        <d v="2014-12-11T00:00:00"/>
        <d v="2014-05-14T00:00:00"/>
        <d v="2012-10-29T00:00:00"/>
        <d v="2023-02-24T00:00:00"/>
        <d v="2021-12-11T00:00:00"/>
        <d v="2010-11-14T00:00:00"/>
        <d v="2019-06-07T00:00:00"/>
        <d v="2020-10-06T00:00:00"/>
        <d v="2022-06-11T00:00:00"/>
        <d v="2010-06-15T00:00:00"/>
        <d v="2016-01-05T00:00:00"/>
        <d v="2017-10-18T00:00:00"/>
        <d v="2020-03-19T00:00:00"/>
        <d v="2021-01-08T00:00:00"/>
        <d v="2015-05-12T00:00:00"/>
        <d v="2018-05-09T00:00:00"/>
        <d v="2014-01-09T00:00:00"/>
        <d v="2014-11-09T00:00:00"/>
        <d v="2013-05-04T00:00:00"/>
        <d v="2019-07-12T00:00:00"/>
        <d v="2015-12-18T00:00:00"/>
        <d v="2013-09-18T00:00:00"/>
        <d v="2015-03-29T00:00:00"/>
        <d v="2016-08-02T00:00:00"/>
        <d v="2016-12-03T00:00:00"/>
        <d v="2015-12-02T00:00:00"/>
        <d v="2015-02-15T00:00:00"/>
        <d v="2018-07-13T00:00:00"/>
        <d v="2018-07-06T00:00:00"/>
        <d v="2023-04-28T00:00:00"/>
        <d v="2020-03-02T00:00:00"/>
        <d v="2020-03-04T00:00:00"/>
        <d v="2012-09-18T00:00:00"/>
        <d v="2019-01-28T00:00:00"/>
        <d v="2011-05-30T00:00:00"/>
        <d v="2016-03-05T00:00:00"/>
        <d v="2015-05-23T00:00:00"/>
        <d v="2020-07-02T00:00:00"/>
        <d v="2019-06-10T00:00:00"/>
        <d v="2013-12-11T00:00:00"/>
        <d v="2015-07-20T00:00:00"/>
        <d v="2023-07-17T00:00:00"/>
        <d v="2013-03-21T00:00:00"/>
        <d v="2015-07-15T00:00:00"/>
        <d v="2017-05-19T00:00:00"/>
        <d v="2010-07-16T00:00:00"/>
        <d v="2022-11-23T00:00:00"/>
        <d v="2015-01-16T00:00:00"/>
        <d v="2010-09-12T00:00:00"/>
        <d v="2010-09-15T00:00:00"/>
        <d v="2021-08-16T00:00:00"/>
        <d v="2019-05-07T00:00:00"/>
        <d v="2021-01-30T00:00:00"/>
        <d v="2012-04-19T00:00:00"/>
        <d v="2022-06-20T00:00:00"/>
        <d v="2016-04-07T00:00:00"/>
        <d v="2019-08-02T00:00:00"/>
        <d v="2011-03-05T00:00:00"/>
        <d v="2010-07-20T00:00:00"/>
        <d v="2023-07-05T00:00:00"/>
        <d v="2012-04-15T00:00:00"/>
        <d v="2021-06-03T00:00:00"/>
        <d v="2021-02-17T00:00:00"/>
        <d v="2023-01-04T00:00:00"/>
        <d v="2015-01-20T00:00:00"/>
        <d v="2018-06-06T00:00:00"/>
        <d v="2021-07-17T00:00:00"/>
        <d v="2014-07-24T00:00:00"/>
        <d v="2012-06-27T00:00:00"/>
        <d v="2019-01-01T00:00:00"/>
        <d v="2022-11-27T00:00:00"/>
        <d v="2014-05-27T00:00:00"/>
        <d v="2011-07-10T00:00:00"/>
        <d v="2022-11-07T00:00:00"/>
        <d v="2011-06-12T00:00:00"/>
        <d v="2018-07-23T00:00:00"/>
        <d v="2023-04-08T00:00:00"/>
        <d v="2016-06-30T00:00:00"/>
        <d v="2020-05-28T00:00:00"/>
        <d v="2020-07-29T00:00:00"/>
        <d v="2015-07-10T00:00:00"/>
        <d v="2021-10-17T00:00:00"/>
        <d v="2015-08-23T00:00:00"/>
        <d v="2010-12-07T00:00:00"/>
        <d v="2021-11-24T00:00:00"/>
        <d v="2016-04-09T00:00:00"/>
        <d v="2011-09-08T00:00:00"/>
        <d v="2021-02-10T00:00:00"/>
        <d v="2021-10-27T00:00:00"/>
        <d v="2010-04-04T00:00:00"/>
        <d v="2019-06-08T00:00:00"/>
        <d v="2011-09-14T00:00:00"/>
        <d v="2015-12-08T00:00:00"/>
        <d v="2020-04-02T00:00:00"/>
        <d v="2013-08-11T00:00:00"/>
        <d v="2020-01-25T00:00:00"/>
        <d v="2019-03-20T00:00:00"/>
        <d v="2010-03-14T00:00:00"/>
        <d v="2011-10-19T00:00:00"/>
        <d v="2013-04-01T00:00:00"/>
        <d v="2018-02-14T00:00:00"/>
        <d v="2016-07-11T00:00:00"/>
        <d v="2016-06-05T00:00:00"/>
        <d v="2016-07-05T00:00:00"/>
        <d v="2014-01-06T00:00:00"/>
        <d v="2014-09-23T00:00:00"/>
        <d v="2011-10-06T00:00:00"/>
        <d v="2020-09-23T00:00:00"/>
        <d v="2018-12-13T00:00:00"/>
        <d v="2020-08-06T00:00:00"/>
        <d v="2019-09-18T00:00:00"/>
        <d v="2021-05-05T00:00:00"/>
        <d v="2022-02-20T00:00:00"/>
        <d v="2010-02-27T00:00:00"/>
        <d v="2013-03-10T00:00:00"/>
        <d v="2013-10-10T00:00:00"/>
        <d v="2021-01-05T00:00:00"/>
        <d v="2019-07-10T00:00:00"/>
        <d v="2019-06-28T00:00:00"/>
        <d v="2017-10-20T00:00:00"/>
        <d v="2019-03-15T00:00:00"/>
        <d v="2018-06-05T00:00:00"/>
        <d v="2015-01-17T00:00:00"/>
        <d v="2023-01-13T00:00:00"/>
        <d v="2016-01-14T00:00:00"/>
        <d v="2021-10-25T00:00:00"/>
        <d v="2016-09-03T00:00:00"/>
        <d v="2018-11-12T00:00:00"/>
        <d v="2021-06-18T00:00:00"/>
        <d v="2020-12-09T00:00:00"/>
        <d v="2010-09-17T00:00:00"/>
        <d v="2020-09-03T00:00:00"/>
        <d v="2017-12-09T00:00:00"/>
        <d v="2017-02-24T00:00:00"/>
        <d v="2010-03-28T00:00:00"/>
        <d v="2018-09-15T00:00:00"/>
        <d v="2019-12-30T00:00:00"/>
        <d v="2010-07-06T00:00:00"/>
        <d v="2022-12-21T00:00:00"/>
        <d v="2016-01-21T00:00:00"/>
        <d v="2016-05-11T00:00:00"/>
        <d v="2012-11-17T00:00:00"/>
        <d v="2011-02-11T00:00:00"/>
        <d v="2010-06-17T00:00:00"/>
        <d v="2012-06-02T00:00:00"/>
        <d v="2017-09-16T00:00:00"/>
        <d v="2016-02-28T00:00:00"/>
        <d v="2010-08-04T00:00:00"/>
        <d v="2021-03-01T00:00:00"/>
        <d v="2010-04-23T00:00:00"/>
        <d v="2013-05-07T00:00:00"/>
        <d v="2013-04-10T00:00:00"/>
        <d v="2013-03-29T00:00:00"/>
        <d v="2021-08-19T00:00:00"/>
        <d v="2023-02-22T00:00:00"/>
        <d v="2022-10-16T00:00:00"/>
      </sharedItems>
    </cacheField>
    <cacheField name="Department" numFmtId="0">
      <sharedItems count="6">
        <s v="Finance"/>
        <s v="Operations"/>
        <s v="Sales"/>
        <s v="HR"/>
        <s v="Marketing"/>
        <s v="IT"/>
      </sharedItems>
    </cacheField>
    <cacheField name="JobRole" numFmtId="0">
      <sharedItems/>
    </cacheField>
    <cacheField name="Gender" numFmtId="0">
      <sharedItems/>
    </cacheField>
    <cacheField name="Age" numFmtId="1">
      <sharedItems containsSemiMixedTypes="0" containsString="0" containsNumber="1" containsInteger="1" minValue="22" maxValue="60"/>
    </cacheField>
    <cacheField name="MonthlySalary" numFmtId="168">
      <sharedItems containsSemiMixedTypes="0" containsString="0" containsNumber="1" containsInteger="1" minValue="4009" maxValue="19926"/>
    </cacheField>
    <cacheField name="YearsAtCompany" numFmtId="1">
      <sharedItems containsSemiMixedTypes="0" containsString="0" containsNumber="1" containsInteger="1" minValue="0" maxValue="15"/>
    </cacheField>
    <cacheField name="PerformanceRating" numFmtId="1">
      <sharedItems containsSemiMixedTypes="0" containsString="0" containsNumber="1" containsInteger="1" minValue="1" maxValue="5"/>
    </cacheField>
    <cacheField name="Overtime" numFmtId="0">
      <sharedItems count="2">
        <s v="No"/>
        <s v="Yes"/>
      </sharedItems>
    </cacheField>
    <cacheField name="WorkLocation" numFmtId="0">
      <sharedItems count="3">
        <s v="Remote"/>
        <s v="Hybrid"/>
        <s v="Onsite"/>
      </sharedItems>
    </cacheField>
    <cacheField name="Manager" numFmtId="0">
      <sharedItems/>
    </cacheField>
    <cacheField name="Annual Salary " numFmtId="168">
      <sharedItems containsSemiMixedTypes="0" containsString="0" containsNumber="1" containsInteger="1" minValue="48108" maxValue="239112"/>
    </cacheField>
    <cacheField name="Age Group" numFmtId="0">
      <sharedItems count="3">
        <s v="30 - 45"/>
        <s v="Above 45"/>
        <s v="Under 30"/>
      </sharedItems>
    </cacheField>
    <cacheField name="Experience Level" numFmtId="0">
      <sharedItems count="3">
        <s v="Senior"/>
        <s v="Mid"/>
        <s v="Junior"/>
      </sharedItems>
    </cacheField>
    <cacheField name="Preformance Category" numFmtId="0">
      <sharedItems count="3">
        <s v="Low"/>
        <s v="High"/>
        <s v="Medium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n v="2"/>
    <x v="0"/>
    <x v="0"/>
    <s v="Financial Analyst"/>
    <s v="Male"/>
    <n v="36"/>
    <n v="17387"/>
    <n v="14"/>
    <n v="2"/>
    <x v="0"/>
    <x v="0"/>
    <s v="Mona Ali"/>
    <n v="208644"/>
    <x v="0"/>
    <x v="0"/>
    <x v="0"/>
  </r>
  <r>
    <n v="8"/>
    <x v="1"/>
    <x v="1"/>
    <s v="Operations Officer"/>
    <s v="Female"/>
    <n v="51"/>
    <n v="5927"/>
    <n v="11"/>
    <n v="2"/>
    <x v="0"/>
    <x v="1"/>
    <s v="Mona Ali"/>
    <n v="71124"/>
    <x v="1"/>
    <x v="0"/>
    <x v="0"/>
  </r>
  <r>
    <n v="12"/>
    <x v="2"/>
    <x v="1"/>
    <s v="Supply Chain Analyst"/>
    <s v="Female"/>
    <n v="24"/>
    <n v="15012"/>
    <n v="14"/>
    <n v="1"/>
    <x v="0"/>
    <x v="0"/>
    <s v="Khaled Samir"/>
    <n v="180144"/>
    <x v="2"/>
    <x v="0"/>
    <x v="0"/>
  </r>
  <r>
    <n v="16"/>
    <x v="3"/>
    <x v="2"/>
    <s v="Sales Executive"/>
    <s v="Female"/>
    <n v="43"/>
    <n v="17648"/>
    <n v="15"/>
    <n v="1"/>
    <x v="1"/>
    <x v="2"/>
    <s v="Mona Ali"/>
    <n v="211776"/>
    <x v="0"/>
    <x v="0"/>
    <x v="0"/>
  </r>
  <r>
    <n v="17"/>
    <x v="4"/>
    <x v="3"/>
    <s v="Recruiter"/>
    <s v="Male"/>
    <n v="41"/>
    <n v="17695"/>
    <n v="8"/>
    <n v="1"/>
    <x v="1"/>
    <x v="1"/>
    <s v="Ahmed Hassan"/>
    <n v="212340"/>
    <x v="0"/>
    <x v="0"/>
    <x v="0"/>
  </r>
  <r>
    <n v="19"/>
    <x v="5"/>
    <x v="1"/>
    <s v="Supply Chain Analyst"/>
    <s v="Female"/>
    <n v="56"/>
    <n v="15214"/>
    <n v="13"/>
    <n v="2"/>
    <x v="0"/>
    <x v="0"/>
    <s v="Mona Ali"/>
    <n v="182568"/>
    <x v="1"/>
    <x v="0"/>
    <x v="0"/>
  </r>
  <r>
    <n v="50"/>
    <x v="6"/>
    <x v="0"/>
    <s v="Accountant"/>
    <s v="Male"/>
    <n v="57"/>
    <n v="15419"/>
    <n v="14"/>
    <n v="1"/>
    <x v="0"/>
    <x v="1"/>
    <s v="Mona Ali"/>
    <n v="185028"/>
    <x v="1"/>
    <x v="0"/>
    <x v="0"/>
  </r>
  <r>
    <n v="52"/>
    <x v="7"/>
    <x v="3"/>
    <s v="HR Executive"/>
    <s v="Male"/>
    <n v="33"/>
    <n v="4153"/>
    <n v="13"/>
    <n v="1"/>
    <x v="0"/>
    <x v="1"/>
    <s v="Ahmed Hassan"/>
    <n v="49836"/>
    <x v="0"/>
    <x v="0"/>
    <x v="0"/>
  </r>
  <r>
    <n v="58"/>
    <x v="8"/>
    <x v="0"/>
    <s v="Accountant"/>
    <s v="Male"/>
    <n v="22"/>
    <n v="10715"/>
    <n v="11"/>
    <n v="2"/>
    <x v="1"/>
    <x v="2"/>
    <s v="Youssef Mahmoud"/>
    <n v="128580"/>
    <x v="2"/>
    <x v="0"/>
    <x v="0"/>
  </r>
  <r>
    <n v="59"/>
    <x v="9"/>
    <x v="3"/>
    <s v="HR Executive"/>
    <s v="Male"/>
    <n v="45"/>
    <n v="19436"/>
    <n v="8"/>
    <n v="1"/>
    <x v="1"/>
    <x v="2"/>
    <s v="Sara Adel"/>
    <n v="233232"/>
    <x v="0"/>
    <x v="0"/>
    <x v="0"/>
  </r>
  <r>
    <n v="68"/>
    <x v="10"/>
    <x v="4"/>
    <s v="Content Creator"/>
    <s v="Male"/>
    <n v="34"/>
    <n v="9058"/>
    <n v="8"/>
    <n v="1"/>
    <x v="0"/>
    <x v="2"/>
    <s v="Khaled Samir"/>
    <n v="108696"/>
    <x v="0"/>
    <x v="0"/>
    <x v="0"/>
  </r>
  <r>
    <n v="74"/>
    <x v="11"/>
    <x v="5"/>
    <s v="IT Support"/>
    <s v="Female"/>
    <n v="57"/>
    <n v="11608"/>
    <n v="8"/>
    <n v="2"/>
    <x v="0"/>
    <x v="0"/>
    <s v="Khaled Samir"/>
    <n v="139296"/>
    <x v="1"/>
    <x v="0"/>
    <x v="0"/>
  </r>
  <r>
    <n v="85"/>
    <x v="12"/>
    <x v="3"/>
    <s v="HR Executive"/>
    <s v="Male"/>
    <n v="35"/>
    <n v="4009"/>
    <n v="13"/>
    <n v="1"/>
    <x v="1"/>
    <x v="2"/>
    <s v="Khaled Samir"/>
    <n v="48108"/>
    <x v="0"/>
    <x v="0"/>
    <x v="0"/>
  </r>
  <r>
    <n v="87"/>
    <x v="13"/>
    <x v="3"/>
    <s v="HR Executive"/>
    <s v="Female"/>
    <n v="27"/>
    <n v="4572"/>
    <n v="14"/>
    <n v="2"/>
    <x v="0"/>
    <x v="0"/>
    <s v="Ahmed Hassan"/>
    <n v="54864"/>
    <x v="2"/>
    <x v="0"/>
    <x v="0"/>
  </r>
  <r>
    <n v="95"/>
    <x v="14"/>
    <x v="3"/>
    <s v="Recruiter"/>
    <s v="Female"/>
    <n v="56"/>
    <n v="4304"/>
    <n v="13"/>
    <n v="1"/>
    <x v="1"/>
    <x v="1"/>
    <s v="Youssef Mahmoud"/>
    <n v="51648"/>
    <x v="1"/>
    <x v="0"/>
    <x v="0"/>
  </r>
  <r>
    <n v="96"/>
    <x v="15"/>
    <x v="5"/>
    <s v="Software Engineer"/>
    <s v="Female"/>
    <n v="33"/>
    <n v="17893"/>
    <n v="10"/>
    <n v="2"/>
    <x v="1"/>
    <x v="2"/>
    <s v="Khaled Samir"/>
    <n v="214716"/>
    <x v="0"/>
    <x v="0"/>
    <x v="0"/>
  </r>
  <r>
    <n v="103"/>
    <x v="16"/>
    <x v="0"/>
    <s v="Accountant"/>
    <s v="Male"/>
    <n v="56"/>
    <n v="9092"/>
    <n v="11"/>
    <n v="2"/>
    <x v="1"/>
    <x v="2"/>
    <s v="Ahmed Hassan"/>
    <n v="109104"/>
    <x v="1"/>
    <x v="0"/>
    <x v="0"/>
  </r>
  <r>
    <n v="112"/>
    <x v="17"/>
    <x v="2"/>
    <s v="Sales Executive"/>
    <s v="Female"/>
    <n v="43"/>
    <n v="12957"/>
    <n v="9"/>
    <n v="2"/>
    <x v="0"/>
    <x v="2"/>
    <s v="Youssef Mahmoud"/>
    <n v="155484"/>
    <x v="0"/>
    <x v="0"/>
    <x v="0"/>
  </r>
  <r>
    <n v="114"/>
    <x v="18"/>
    <x v="1"/>
    <s v="Operations Officer"/>
    <s v="Female"/>
    <n v="44"/>
    <n v="16327"/>
    <n v="10"/>
    <n v="2"/>
    <x v="0"/>
    <x v="1"/>
    <s v="Khaled Samir"/>
    <n v="195924"/>
    <x v="0"/>
    <x v="0"/>
    <x v="0"/>
  </r>
  <r>
    <n v="127"/>
    <x v="19"/>
    <x v="3"/>
    <s v="HR Executive"/>
    <s v="Male"/>
    <n v="37"/>
    <n v="19206"/>
    <n v="14"/>
    <n v="2"/>
    <x v="1"/>
    <x v="2"/>
    <s v="Sara Adel"/>
    <n v="230472"/>
    <x v="0"/>
    <x v="0"/>
    <x v="0"/>
  </r>
  <r>
    <n v="129"/>
    <x v="20"/>
    <x v="1"/>
    <s v="Operations Officer"/>
    <s v="Female"/>
    <n v="52"/>
    <n v="17976"/>
    <n v="9"/>
    <n v="1"/>
    <x v="0"/>
    <x v="1"/>
    <s v="Sara Adel"/>
    <n v="215712"/>
    <x v="1"/>
    <x v="0"/>
    <x v="0"/>
  </r>
  <r>
    <n v="132"/>
    <x v="21"/>
    <x v="2"/>
    <s v="Sales Manager"/>
    <s v="Male"/>
    <n v="59"/>
    <n v="8160"/>
    <n v="13"/>
    <n v="1"/>
    <x v="0"/>
    <x v="0"/>
    <s v="Mona Ali"/>
    <n v="97920"/>
    <x v="1"/>
    <x v="0"/>
    <x v="0"/>
  </r>
  <r>
    <n v="138"/>
    <x v="22"/>
    <x v="5"/>
    <s v="IT Support"/>
    <s v="Female"/>
    <n v="57"/>
    <n v="12768"/>
    <n v="10"/>
    <n v="1"/>
    <x v="1"/>
    <x v="1"/>
    <s v="Khaled Samir"/>
    <n v="153216"/>
    <x v="1"/>
    <x v="0"/>
    <x v="0"/>
  </r>
  <r>
    <n v="140"/>
    <x v="23"/>
    <x v="2"/>
    <s v="Sales Executive"/>
    <s v="Male"/>
    <n v="31"/>
    <n v="9724"/>
    <n v="12"/>
    <n v="2"/>
    <x v="1"/>
    <x v="0"/>
    <s v="Youssef Mahmoud"/>
    <n v="116688"/>
    <x v="0"/>
    <x v="0"/>
    <x v="0"/>
  </r>
  <r>
    <n v="141"/>
    <x v="24"/>
    <x v="3"/>
    <s v="HR Executive"/>
    <s v="Male"/>
    <n v="36"/>
    <n v="17483"/>
    <n v="14"/>
    <n v="2"/>
    <x v="1"/>
    <x v="1"/>
    <s v="Ahmed Hassan"/>
    <n v="209796"/>
    <x v="0"/>
    <x v="0"/>
    <x v="0"/>
  </r>
  <r>
    <n v="142"/>
    <x v="25"/>
    <x v="0"/>
    <s v="Accountant"/>
    <s v="Female"/>
    <n v="56"/>
    <n v="16902"/>
    <n v="15"/>
    <n v="1"/>
    <x v="1"/>
    <x v="2"/>
    <s v="Mona Ali"/>
    <n v="202824"/>
    <x v="1"/>
    <x v="0"/>
    <x v="0"/>
  </r>
  <r>
    <n v="144"/>
    <x v="26"/>
    <x v="2"/>
    <s v="Sales Manager"/>
    <s v="Female"/>
    <n v="24"/>
    <n v="17264"/>
    <n v="13"/>
    <n v="2"/>
    <x v="0"/>
    <x v="2"/>
    <s v="Ahmed Hassan"/>
    <n v="207168"/>
    <x v="2"/>
    <x v="0"/>
    <x v="0"/>
  </r>
  <r>
    <n v="146"/>
    <x v="27"/>
    <x v="4"/>
    <s v="Marketing Specialist"/>
    <s v="Male"/>
    <n v="49"/>
    <n v="8500"/>
    <n v="9"/>
    <n v="1"/>
    <x v="1"/>
    <x v="2"/>
    <s v="Sara Adel"/>
    <n v="102000"/>
    <x v="1"/>
    <x v="0"/>
    <x v="0"/>
  </r>
  <r>
    <n v="154"/>
    <x v="28"/>
    <x v="0"/>
    <s v="Accountant"/>
    <s v="Male"/>
    <n v="47"/>
    <n v="18330"/>
    <n v="9"/>
    <n v="1"/>
    <x v="0"/>
    <x v="2"/>
    <s v="Ahmed Hassan"/>
    <n v="219960"/>
    <x v="1"/>
    <x v="0"/>
    <x v="0"/>
  </r>
  <r>
    <n v="156"/>
    <x v="29"/>
    <x v="5"/>
    <s v="Data Analyst"/>
    <s v="Female"/>
    <n v="45"/>
    <n v="18789"/>
    <n v="11"/>
    <n v="1"/>
    <x v="1"/>
    <x v="2"/>
    <s v="Sara Adel"/>
    <n v="225468"/>
    <x v="0"/>
    <x v="0"/>
    <x v="0"/>
  </r>
  <r>
    <n v="167"/>
    <x v="30"/>
    <x v="4"/>
    <s v="Content Creator"/>
    <s v="Male"/>
    <n v="27"/>
    <n v="10884"/>
    <n v="10"/>
    <n v="2"/>
    <x v="1"/>
    <x v="0"/>
    <s v="Youssef Mahmoud"/>
    <n v="130608"/>
    <x v="2"/>
    <x v="0"/>
    <x v="0"/>
  </r>
  <r>
    <n v="169"/>
    <x v="31"/>
    <x v="3"/>
    <s v="HR Executive"/>
    <s v="Male"/>
    <n v="42"/>
    <n v="10497"/>
    <n v="13"/>
    <n v="2"/>
    <x v="0"/>
    <x v="2"/>
    <s v="Youssef Mahmoud"/>
    <n v="125964"/>
    <x v="0"/>
    <x v="0"/>
    <x v="0"/>
  </r>
  <r>
    <n v="170"/>
    <x v="32"/>
    <x v="3"/>
    <s v="Recruiter"/>
    <s v="Male"/>
    <n v="28"/>
    <n v="11704"/>
    <n v="9"/>
    <n v="2"/>
    <x v="0"/>
    <x v="0"/>
    <s v="Mona Ali"/>
    <n v="140448"/>
    <x v="2"/>
    <x v="0"/>
    <x v="0"/>
  </r>
  <r>
    <n v="175"/>
    <x v="33"/>
    <x v="3"/>
    <s v="HR Executive"/>
    <s v="Male"/>
    <n v="25"/>
    <n v="11884"/>
    <n v="15"/>
    <n v="2"/>
    <x v="0"/>
    <x v="2"/>
    <s v="Khaled Samir"/>
    <n v="142608"/>
    <x v="2"/>
    <x v="0"/>
    <x v="0"/>
  </r>
  <r>
    <n v="189"/>
    <x v="34"/>
    <x v="2"/>
    <s v="Sales Executive"/>
    <s v="Female"/>
    <n v="33"/>
    <n v="12249"/>
    <n v="9"/>
    <n v="2"/>
    <x v="1"/>
    <x v="0"/>
    <s v="Sara Adel"/>
    <n v="146988"/>
    <x v="0"/>
    <x v="0"/>
    <x v="0"/>
  </r>
  <r>
    <n v="192"/>
    <x v="35"/>
    <x v="2"/>
    <s v="Sales Executive"/>
    <s v="Male"/>
    <n v="31"/>
    <n v="8902"/>
    <n v="8"/>
    <n v="1"/>
    <x v="1"/>
    <x v="2"/>
    <s v="Mona Ali"/>
    <n v="106824"/>
    <x v="0"/>
    <x v="0"/>
    <x v="0"/>
  </r>
  <r>
    <n v="203"/>
    <x v="36"/>
    <x v="4"/>
    <s v="Content Creator"/>
    <s v="Female"/>
    <n v="53"/>
    <n v="19577"/>
    <n v="12"/>
    <n v="2"/>
    <x v="1"/>
    <x v="2"/>
    <s v="Ahmed Hassan"/>
    <n v="234924"/>
    <x v="1"/>
    <x v="0"/>
    <x v="0"/>
  </r>
  <r>
    <n v="212"/>
    <x v="37"/>
    <x v="5"/>
    <s v="Software Engineer"/>
    <s v="Female"/>
    <n v="52"/>
    <n v="4663"/>
    <n v="11"/>
    <n v="2"/>
    <x v="0"/>
    <x v="1"/>
    <s v="Sara Adel"/>
    <n v="55956"/>
    <x v="1"/>
    <x v="0"/>
    <x v="0"/>
  </r>
  <r>
    <n v="213"/>
    <x v="38"/>
    <x v="1"/>
    <s v="Operations Officer"/>
    <s v="Female"/>
    <n v="55"/>
    <n v="9900"/>
    <n v="8"/>
    <n v="2"/>
    <x v="0"/>
    <x v="0"/>
    <s v="Ahmed Hassan"/>
    <n v="118800"/>
    <x v="1"/>
    <x v="0"/>
    <x v="0"/>
  </r>
  <r>
    <n v="221"/>
    <x v="39"/>
    <x v="4"/>
    <s v="Content Creator"/>
    <s v="Male"/>
    <n v="47"/>
    <n v="6945"/>
    <n v="13"/>
    <n v="1"/>
    <x v="1"/>
    <x v="1"/>
    <s v="Ahmed Hassan"/>
    <n v="83340"/>
    <x v="1"/>
    <x v="0"/>
    <x v="0"/>
  </r>
  <r>
    <n v="223"/>
    <x v="40"/>
    <x v="0"/>
    <s v="Accountant"/>
    <s v="Female"/>
    <n v="29"/>
    <n v="17528"/>
    <n v="10"/>
    <n v="2"/>
    <x v="0"/>
    <x v="0"/>
    <s v="Sara Adel"/>
    <n v="210336"/>
    <x v="2"/>
    <x v="0"/>
    <x v="0"/>
  </r>
  <r>
    <n v="227"/>
    <x v="41"/>
    <x v="0"/>
    <s v="Accountant"/>
    <s v="Female"/>
    <n v="22"/>
    <n v="12887"/>
    <n v="12"/>
    <n v="2"/>
    <x v="0"/>
    <x v="0"/>
    <s v="Mona Ali"/>
    <n v="154644"/>
    <x v="2"/>
    <x v="0"/>
    <x v="0"/>
  </r>
  <r>
    <n v="232"/>
    <x v="42"/>
    <x v="1"/>
    <s v="Supply Chain Analyst"/>
    <s v="Male"/>
    <n v="60"/>
    <n v="15901"/>
    <n v="11"/>
    <n v="2"/>
    <x v="0"/>
    <x v="1"/>
    <s v="Sara Adel"/>
    <n v="190812"/>
    <x v="1"/>
    <x v="0"/>
    <x v="0"/>
  </r>
  <r>
    <n v="234"/>
    <x v="43"/>
    <x v="4"/>
    <s v="Content Creator"/>
    <s v="Male"/>
    <n v="44"/>
    <n v="19664"/>
    <n v="14"/>
    <n v="2"/>
    <x v="1"/>
    <x v="1"/>
    <s v="Sara Adel"/>
    <n v="235968"/>
    <x v="0"/>
    <x v="0"/>
    <x v="0"/>
  </r>
  <r>
    <n v="235"/>
    <x v="44"/>
    <x v="2"/>
    <s v="Sales Manager"/>
    <s v="Female"/>
    <n v="50"/>
    <n v="14741"/>
    <n v="8"/>
    <n v="2"/>
    <x v="1"/>
    <x v="0"/>
    <s v="Khaled Samir"/>
    <n v="176892"/>
    <x v="1"/>
    <x v="0"/>
    <x v="0"/>
  </r>
  <r>
    <n v="236"/>
    <x v="45"/>
    <x v="3"/>
    <s v="HR Executive"/>
    <s v="Female"/>
    <n v="51"/>
    <n v="19639"/>
    <n v="12"/>
    <n v="1"/>
    <x v="1"/>
    <x v="2"/>
    <s v="Mona Ali"/>
    <n v="235668"/>
    <x v="1"/>
    <x v="0"/>
    <x v="0"/>
  </r>
  <r>
    <n v="238"/>
    <x v="46"/>
    <x v="4"/>
    <s v="Marketing Specialist"/>
    <s v="Male"/>
    <n v="33"/>
    <n v="8996"/>
    <n v="14"/>
    <n v="2"/>
    <x v="0"/>
    <x v="1"/>
    <s v="Khaled Samir"/>
    <n v="107952"/>
    <x v="0"/>
    <x v="0"/>
    <x v="0"/>
  </r>
  <r>
    <n v="239"/>
    <x v="47"/>
    <x v="0"/>
    <s v="Accountant"/>
    <s v="Female"/>
    <n v="30"/>
    <n v="7930"/>
    <n v="9"/>
    <n v="1"/>
    <x v="1"/>
    <x v="1"/>
    <s v="Ahmed Hassan"/>
    <n v="95160"/>
    <x v="0"/>
    <x v="0"/>
    <x v="0"/>
  </r>
  <r>
    <n v="261"/>
    <x v="48"/>
    <x v="5"/>
    <s v="Data Analyst"/>
    <s v="Female"/>
    <n v="35"/>
    <n v="8266"/>
    <n v="13"/>
    <n v="2"/>
    <x v="0"/>
    <x v="2"/>
    <s v="Ahmed Hassan"/>
    <n v="99192"/>
    <x v="0"/>
    <x v="0"/>
    <x v="0"/>
  </r>
  <r>
    <n v="264"/>
    <x v="49"/>
    <x v="2"/>
    <s v="Sales Executive"/>
    <s v="Female"/>
    <n v="33"/>
    <n v="12343"/>
    <n v="10"/>
    <n v="1"/>
    <x v="0"/>
    <x v="2"/>
    <s v="Ahmed Hassan"/>
    <n v="148116"/>
    <x v="0"/>
    <x v="0"/>
    <x v="0"/>
  </r>
  <r>
    <n v="265"/>
    <x v="50"/>
    <x v="2"/>
    <s v="Sales Manager"/>
    <s v="Male"/>
    <n v="22"/>
    <n v="8190"/>
    <n v="14"/>
    <n v="2"/>
    <x v="1"/>
    <x v="2"/>
    <s v="Ahmed Hassan"/>
    <n v="98280"/>
    <x v="2"/>
    <x v="0"/>
    <x v="0"/>
  </r>
  <r>
    <n v="267"/>
    <x v="51"/>
    <x v="3"/>
    <s v="Recruiter"/>
    <s v="Female"/>
    <n v="56"/>
    <n v="8323"/>
    <n v="9"/>
    <n v="2"/>
    <x v="1"/>
    <x v="1"/>
    <s v="Sara Adel"/>
    <n v="99876"/>
    <x v="1"/>
    <x v="0"/>
    <x v="0"/>
  </r>
  <r>
    <n v="268"/>
    <x v="52"/>
    <x v="0"/>
    <s v="Financial Analyst"/>
    <s v="Male"/>
    <n v="50"/>
    <n v="14506"/>
    <n v="15"/>
    <n v="1"/>
    <x v="0"/>
    <x v="0"/>
    <s v="Sara Adel"/>
    <n v="174072"/>
    <x v="1"/>
    <x v="0"/>
    <x v="0"/>
  </r>
  <r>
    <n v="271"/>
    <x v="53"/>
    <x v="2"/>
    <s v="Sales Executive"/>
    <s v="Female"/>
    <n v="32"/>
    <n v="6577"/>
    <n v="12"/>
    <n v="1"/>
    <x v="1"/>
    <x v="2"/>
    <s v="Mona Ali"/>
    <n v="78924"/>
    <x v="0"/>
    <x v="0"/>
    <x v="0"/>
  </r>
  <r>
    <n v="272"/>
    <x v="54"/>
    <x v="0"/>
    <s v="Financial Analyst"/>
    <s v="Male"/>
    <n v="51"/>
    <n v="17711"/>
    <n v="8"/>
    <n v="1"/>
    <x v="0"/>
    <x v="2"/>
    <s v="Mona Ali"/>
    <n v="212532"/>
    <x v="1"/>
    <x v="0"/>
    <x v="0"/>
  </r>
  <r>
    <n v="281"/>
    <x v="55"/>
    <x v="5"/>
    <s v="Data Analyst"/>
    <s v="Female"/>
    <n v="35"/>
    <n v="16492"/>
    <n v="13"/>
    <n v="2"/>
    <x v="0"/>
    <x v="2"/>
    <s v="Khaled Samir"/>
    <n v="197904"/>
    <x v="0"/>
    <x v="0"/>
    <x v="0"/>
  </r>
  <r>
    <n v="283"/>
    <x v="56"/>
    <x v="5"/>
    <s v="Software Engineer"/>
    <s v="Male"/>
    <n v="41"/>
    <n v="7135"/>
    <n v="14"/>
    <n v="2"/>
    <x v="0"/>
    <x v="2"/>
    <s v="Youssef Mahmoud"/>
    <n v="85620"/>
    <x v="0"/>
    <x v="0"/>
    <x v="0"/>
  </r>
  <r>
    <n v="284"/>
    <x v="57"/>
    <x v="1"/>
    <s v="Supply Chain Analyst"/>
    <s v="Male"/>
    <n v="50"/>
    <n v="15483"/>
    <n v="15"/>
    <n v="2"/>
    <x v="0"/>
    <x v="2"/>
    <s v="Youssef Mahmoud"/>
    <n v="185796"/>
    <x v="1"/>
    <x v="0"/>
    <x v="0"/>
  </r>
  <r>
    <n v="319"/>
    <x v="58"/>
    <x v="2"/>
    <s v="Sales Executive"/>
    <s v="Female"/>
    <n v="58"/>
    <n v="14877"/>
    <n v="8"/>
    <n v="2"/>
    <x v="0"/>
    <x v="0"/>
    <s v="Sara Adel"/>
    <n v="178524"/>
    <x v="1"/>
    <x v="0"/>
    <x v="0"/>
  </r>
  <r>
    <n v="320"/>
    <x v="59"/>
    <x v="5"/>
    <s v="IT Support"/>
    <s v="Female"/>
    <n v="42"/>
    <n v="17544"/>
    <n v="12"/>
    <n v="1"/>
    <x v="0"/>
    <x v="1"/>
    <s v="Ahmed Hassan"/>
    <n v="210528"/>
    <x v="0"/>
    <x v="0"/>
    <x v="0"/>
  </r>
  <r>
    <n v="323"/>
    <x v="60"/>
    <x v="5"/>
    <s v="IT Support"/>
    <s v="Female"/>
    <n v="51"/>
    <n v="17522"/>
    <n v="12"/>
    <n v="2"/>
    <x v="1"/>
    <x v="1"/>
    <s v="Sara Adel"/>
    <n v="210264"/>
    <x v="1"/>
    <x v="0"/>
    <x v="0"/>
  </r>
  <r>
    <n v="330"/>
    <x v="61"/>
    <x v="0"/>
    <s v="Financial Analyst"/>
    <s v="Male"/>
    <n v="27"/>
    <n v="17999"/>
    <n v="13"/>
    <n v="1"/>
    <x v="1"/>
    <x v="1"/>
    <s v="Sara Adel"/>
    <n v="215988"/>
    <x v="2"/>
    <x v="0"/>
    <x v="0"/>
  </r>
  <r>
    <n v="334"/>
    <x v="62"/>
    <x v="1"/>
    <s v="Supply Chain Analyst"/>
    <s v="Female"/>
    <n v="36"/>
    <n v="7773"/>
    <n v="11"/>
    <n v="1"/>
    <x v="0"/>
    <x v="0"/>
    <s v="Ahmed Hassan"/>
    <n v="93276"/>
    <x v="0"/>
    <x v="0"/>
    <x v="0"/>
  </r>
  <r>
    <n v="337"/>
    <x v="63"/>
    <x v="2"/>
    <s v="Sales Executive"/>
    <s v="Male"/>
    <n v="27"/>
    <n v="7787"/>
    <n v="8"/>
    <n v="2"/>
    <x v="0"/>
    <x v="0"/>
    <s v="Khaled Samir"/>
    <n v="93444"/>
    <x v="2"/>
    <x v="0"/>
    <x v="0"/>
  </r>
  <r>
    <n v="338"/>
    <x v="64"/>
    <x v="3"/>
    <s v="Recruiter"/>
    <s v="Male"/>
    <n v="43"/>
    <n v="15389"/>
    <n v="14"/>
    <n v="1"/>
    <x v="0"/>
    <x v="2"/>
    <s v="Ahmed Hassan"/>
    <n v="184668"/>
    <x v="0"/>
    <x v="0"/>
    <x v="0"/>
  </r>
  <r>
    <n v="342"/>
    <x v="65"/>
    <x v="0"/>
    <s v="Financial Analyst"/>
    <s v="Male"/>
    <n v="31"/>
    <n v="14923"/>
    <n v="11"/>
    <n v="2"/>
    <x v="0"/>
    <x v="0"/>
    <s v="Khaled Samir"/>
    <n v="179076"/>
    <x v="0"/>
    <x v="0"/>
    <x v="0"/>
  </r>
  <r>
    <n v="346"/>
    <x v="66"/>
    <x v="5"/>
    <s v="IT Support"/>
    <s v="Male"/>
    <n v="45"/>
    <n v="9678"/>
    <n v="8"/>
    <n v="1"/>
    <x v="1"/>
    <x v="1"/>
    <s v="Mona Ali"/>
    <n v="116136"/>
    <x v="0"/>
    <x v="0"/>
    <x v="0"/>
  </r>
  <r>
    <n v="354"/>
    <x v="67"/>
    <x v="0"/>
    <s v="Accountant"/>
    <s v="Male"/>
    <n v="57"/>
    <n v="12858"/>
    <n v="11"/>
    <n v="2"/>
    <x v="1"/>
    <x v="1"/>
    <s v="Ahmed Hassan"/>
    <n v="154296"/>
    <x v="1"/>
    <x v="0"/>
    <x v="0"/>
  </r>
  <r>
    <n v="355"/>
    <x v="68"/>
    <x v="0"/>
    <s v="Financial Analyst"/>
    <s v="Female"/>
    <n v="56"/>
    <n v="17219"/>
    <n v="10"/>
    <n v="2"/>
    <x v="0"/>
    <x v="1"/>
    <s v="Ahmed Hassan"/>
    <n v="206628"/>
    <x v="1"/>
    <x v="0"/>
    <x v="0"/>
  </r>
  <r>
    <n v="362"/>
    <x v="69"/>
    <x v="2"/>
    <s v="Sales Executive"/>
    <s v="Female"/>
    <n v="53"/>
    <n v="18079"/>
    <n v="14"/>
    <n v="2"/>
    <x v="0"/>
    <x v="0"/>
    <s v="Khaled Samir"/>
    <n v="216948"/>
    <x v="1"/>
    <x v="0"/>
    <x v="0"/>
  </r>
  <r>
    <n v="366"/>
    <x v="70"/>
    <x v="5"/>
    <s v="Data Analyst"/>
    <s v="Male"/>
    <n v="38"/>
    <n v="16937"/>
    <n v="13"/>
    <n v="2"/>
    <x v="1"/>
    <x v="1"/>
    <s v="Sara Adel"/>
    <n v="203244"/>
    <x v="0"/>
    <x v="0"/>
    <x v="0"/>
  </r>
  <r>
    <n v="373"/>
    <x v="71"/>
    <x v="1"/>
    <s v="Operations Officer"/>
    <s v="Male"/>
    <n v="24"/>
    <n v="11583"/>
    <n v="9"/>
    <n v="2"/>
    <x v="1"/>
    <x v="2"/>
    <s v="Ahmed Hassan"/>
    <n v="138996"/>
    <x v="2"/>
    <x v="0"/>
    <x v="0"/>
  </r>
  <r>
    <n v="377"/>
    <x v="72"/>
    <x v="2"/>
    <s v="Sales Executive"/>
    <s v="Female"/>
    <n v="40"/>
    <n v="13351"/>
    <n v="15"/>
    <n v="1"/>
    <x v="1"/>
    <x v="2"/>
    <s v="Ahmed Hassan"/>
    <n v="160212"/>
    <x v="0"/>
    <x v="0"/>
    <x v="0"/>
  </r>
  <r>
    <n v="380"/>
    <x v="73"/>
    <x v="0"/>
    <s v="Financial Analyst"/>
    <s v="Male"/>
    <n v="34"/>
    <n v="9611"/>
    <n v="9"/>
    <n v="2"/>
    <x v="0"/>
    <x v="1"/>
    <s v="Mona Ali"/>
    <n v="115332"/>
    <x v="0"/>
    <x v="0"/>
    <x v="0"/>
  </r>
  <r>
    <n v="387"/>
    <x v="74"/>
    <x v="0"/>
    <s v="Accountant"/>
    <s v="Male"/>
    <n v="24"/>
    <n v="7304"/>
    <n v="15"/>
    <n v="1"/>
    <x v="0"/>
    <x v="2"/>
    <s v="Youssef Mahmoud"/>
    <n v="87648"/>
    <x v="2"/>
    <x v="0"/>
    <x v="0"/>
  </r>
  <r>
    <n v="391"/>
    <x v="75"/>
    <x v="2"/>
    <s v="Sales Executive"/>
    <s v="Female"/>
    <n v="30"/>
    <n v="15014"/>
    <n v="11"/>
    <n v="2"/>
    <x v="1"/>
    <x v="1"/>
    <s v="Khaled Samir"/>
    <n v="180168"/>
    <x v="0"/>
    <x v="0"/>
    <x v="0"/>
  </r>
  <r>
    <n v="408"/>
    <x v="76"/>
    <x v="4"/>
    <s v="Content Creator"/>
    <s v="Female"/>
    <n v="29"/>
    <n v="16060"/>
    <n v="8"/>
    <n v="1"/>
    <x v="0"/>
    <x v="0"/>
    <s v="Khaled Samir"/>
    <n v="192720"/>
    <x v="2"/>
    <x v="0"/>
    <x v="0"/>
  </r>
  <r>
    <n v="409"/>
    <x v="77"/>
    <x v="3"/>
    <s v="Recruiter"/>
    <s v="Male"/>
    <n v="42"/>
    <n v="18811"/>
    <n v="10"/>
    <n v="1"/>
    <x v="0"/>
    <x v="2"/>
    <s v="Ahmed Hassan"/>
    <n v="225732"/>
    <x v="0"/>
    <x v="0"/>
    <x v="0"/>
  </r>
  <r>
    <n v="421"/>
    <x v="78"/>
    <x v="0"/>
    <s v="Financial Analyst"/>
    <s v="Female"/>
    <n v="48"/>
    <n v="13111"/>
    <n v="14"/>
    <n v="1"/>
    <x v="1"/>
    <x v="2"/>
    <s v="Khaled Samir"/>
    <n v="157332"/>
    <x v="1"/>
    <x v="0"/>
    <x v="0"/>
  </r>
  <r>
    <n v="423"/>
    <x v="79"/>
    <x v="4"/>
    <s v="Marketing Specialist"/>
    <s v="Male"/>
    <n v="60"/>
    <n v="19503"/>
    <n v="9"/>
    <n v="2"/>
    <x v="1"/>
    <x v="0"/>
    <s v="Ahmed Hassan"/>
    <n v="234036"/>
    <x v="1"/>
    <x v="0"/>
    <x v="0"/>
  </r>
  <r>
    <n v="425"/>
    <x v="80"/>
    <x v="1"/>
    <s v="Operations Officer"/>
    <s v="Female"/>
    <n v="28"/>
    <n v="16500"/>
    <n v="9"/>
    <n v="2"/>
    <x v="0"/>
    <x v="2"/>
    <s v="Youssef Mahmoud"/>
    <n v="198000"/>
    <x v="2"/>
    <x v="0"/>
    <x v="0"/>
  </r>
  <r>
    <n v="431"/>
    <x v="81"/>
    <x v="5"/>
    <s v="Data Analyst"/>
    <s v="Male"/>
    <n v="50"/>
    <n v="4816"/>
    <n v="8"/>
    <n v="1"/>
    <x v="1"/>
    <x v="2"/>
    <s v="Mona Ali"/>
    <n v="57792"/>
    <x v="1"/>
    <x v="0"/>
    <x v="0"/>
  </r>
  <r>
    <n v="434"/>
    <x v="82"/>
    <x v="2"/>
    <s v="Sales Executive"/>
    <s v="Male"/>
    <n v="50"/>
    <n v="4761"/>
    <n v="12"/>
    <n v="2"/>
    <x v="0"/>
    <x v="1"/>
    <s v="Khaled Samir"/>
    <n v="57132"/>
    <x v="1"/>
    <x v="0"/>
    <x v="0"/>
  </r>
  <r>
    <n v="435"/>
    <x v="83"/>
    <x v="2"/>
    <s v="Sales Manager"/>
    <s v="Female"/>
    <n v="46"/>
    <n v="7526"/>
    <n v="9"/>
    <n v="2"/>
    <x v="0"/>
    <x v="2"/>
    <s v="Sara Adel"/>
    <n v="90312"/>
    <x v="1"/>
    <x v="0"/>
    <x v="0"/>
  </r>
  <r>
    <n v="437"/>
    <x v="84"/>
    <x v="1"/>
    <s v="Operations Officer"/>
    <s v="Female"/>
    <n v="28"/>
    <n v="18145"/>
    <n v="10"/>
    <n v="1"/>
    <x v="1"/>
    <x v="2"/>
    <s v="Youssef Mahmoud"/>
    <n v="217740"/>
    <x v="2"/>
    <x v="0"/>
    <x v="0"/>
  </r>
  <r>
    <n v="439"/>
    <x v="85"/>
    <x v="2"/>
    <s v="Sales Manager"/>
    <s v="Female"/>
    <n v="60"/>
    <n v="17522"/>
    <n v="9"/>
    <n v="1"/>
    <x v="1"/>
    <x v="2"/>
    <s v="Youssef Mahmoud"/>
    <n v="210264"/>
    <x v="1"/>
    <x v="0"/>
    <x v="0"/>
  </r>
  <r>
    <n v="441"/>
    <x v="86"/>
    <x v="3"/>
    <s v="Recruiter"/>
    <s v="Female"/>
    <n v="26"/>
    <n v="8374"/>
    <n v="12"/>
    <n v="1"/>
    <x v="0"/>
    <x v="0"/>
    <s v="Mona Ali"/>
    <n v="100488"/>
    <x v="2"/>
    <x v="0"/>
    <x v="0"/>
  </r>
  <r>
    <n v="445"/>
    <x v="87"/>
    <x v="3"/>
    <s v="HR Executive"/>
    <s v="Female"/>
    <n v="33"/>
    <n v="18328"/>
    <n v="8"/>
    <n v="1"/>
    <x v="0"/>
    <x v="0"/>
    <s v="Sara Adel"/>
    <n v="219936"/>
    <x v="0"/>
    <x v="0"/>
    <x v="0"/>
  </r>
  <r>
    <n v="454"/>
    <x v="88"/>
    <x v="1"/>
    <s v="Supply Chain Analyst"/>
    <s v="Male"/>
    <n v="49"/>
    <n v="19086"/>
    <n v="14"/>
    <n v="2"/>
    <x v="1"/>
    <x v="0"/>
    <s v="Ahmed Hassan"/>
    <n v="229032"/>
    <x v="1"/>
    <x v="0"/>
    <x v="0"/>
  </r>
  <r>
    <n v="456"/>
    <x v="89"/>
    <x v="2"/>
    <s v="Sales Manager"/>
    <s v="Male"/>
    <n v="59"/>
    <n v="7761"/>
    <n v="8"/>
    <n v="2"/>
    <x v="0"/>
    <x v="0"/>
    <s v="Sara Adel"/>
    <n v="93132"/>
    <x v="1"/>
    <x v="0"/>
    <x v="0"/>
  </r>
  <r>
    <n v="457"/>
    <x v="90"/>
    <x v="0"/>
    <s v="Accountant"/>
    <s v="Male"/>
    <n v="35"/>
    <n v="16124"/>
    <n v="13"/>
    <n v="2"/>
    <x v="1"/>
    <x v="1"/>
    <s v="Sara Adel"/>
    <n v="193488"/>
    <x v="0"/>
    <x v="0"/>
    <x v="0"/>
  </r>
  <r>
    <n v="461"/>
    <x v="91"/>
    <x v="5"/>
    <s v="Software Engineer"/>
    <s v="Male"/>
    <n v="37"/>
    <n v="11488"/>
    <n v="9"/>
    <n v="2"/>
    <x v="0"/>
    <x v="1"/>
    <s v="Khaled Samir"/>
    <n v="137856"/>
    <x v="0"/>
    <x v="0"/>
    <x v="0"/>
  </r>
  <r>
    <n v="463"/>
    <x v="92"/>
    <x v="5"/>
    <s v="IT Support"/>
    <s v="Male"/>
    <n v="44"/>
    <n v="6239"/>
    <n v="13"/>
    <n v="1"/>
    <x v="0"/>
    <x v="1"/>
    <s v="Khaled Samir"/>
    <n v="74868"/>
    <x v="0"/>
    <x v="0"/>
    <x v="0"/>
  </r>
  <r>
    <n v="468"/>
    <x v="93"/>
    <x v="3"/>
    <s v="Recruiter"/>
    <s v="Female"/>
    <n v="28"/>
    <n v="4915"/>
    <n v="8"/>
    <n v="2"/>
    <x v="0"/>
    <x v="1"/>
    <s v="Ahmed Hassan"/>
    <n v="58980"/>
    <x v="2"/>
    <x v="0"/>
    <x v="0"/>
  </r>
  <r>
    <n v="483"/>
    <x v="94"/>
    <x v="1"/>
    <s v="Supply Chain Analyst"/>
    <s v="Male"/>
    <n v="41"/>
    <n v="12187"/>
    <n v="15"/>
    <n v="1"/>
    <x v="1"/>
    <x v="0"/>
    <s v="Khaled Samir"/>
    <n v="146244"/>
    <x v="0"/>
    <x v="0"/>
    <x v="0"/>
  </r>
  <r>
    <n v="486"/>
    <x v="95"/>
    <x v="4"/>
    <s v="Marketing Specialist"/>
    <s v="Female"/>
    <n v="39"/>
    <n v="15711"/>
    <n v="11"/>
    <n v="2"/>
    <x v="1"/>
    <x v="0"/>
    <s v="Mona Ali"/>
    <n v="188532"/>
    <x v="0"/>
    <x v="0"/>
    <x v="0"/>
  </r>
  <r>
    <n v="490"/>
    <x v="2"/>
    <x v="4"/>
    <s v="Marketing Specialist"/>
    <s v="Male"/>
    <n v="56"/>
    <n v="7244"/>
    <n v="13"/>
    <n v="1"/>
    <x v="0"/>
    <x v="0"/>
    <s v="Mona Ali"/>
    <n v="86928"/>
    <x v="1"/>
    <x v="0"/>
    <x v="0"/>
  </r>
  <r>
    <n v="492"/>
    <x v="96"/>
    <x v="0"/>
    <s v="Financial Analyst"/>
    <s v="Male"/>
    <n v="42"/>
    <n v="13478"/>
    <n v="9"/>
    <n v="1"/>
    <x v="0"/>
    <x v="0"/>
    <s v="Ahmed Hassan"/>
    <n v="161736"/>
    <x v="0"/>
    <x v="0"/>
    <x v="0"/>
  </r>
  <r>
    <n v="496"/>
    <x v="97"/>
    <x v="2"/>
    <s v="Sales Manager"/>
    <s v="Female"/>
    <n v="31"/>
    <n v="10448"/>
    <n v="10"/>
    <n v="1"/>
    <x v="0"/>
    <x v="1"/>
    <s v="Ahmed Hassan"/>
    <n v="125376"/>
    <x v="0"/>
    <x v="0"/>
    <x v="0"/>
  </r>
  <r>
    <n v="5"/>
    <x v="98"/>
    <x v="4"/>
    <s v="Marketing Specialist"/>
    <s v="Male"/>
    <n v="55"/>
    <n v="16289"/>
    <n v="15"/>
    <n v="5"/>
    <x v="1"/>
    <x v="1"/>
    <s v="Khaled Samir"/>
    <n v="195468"/>
    <x v="1"/>
    <x v="0"/>
    <x v="1"/>
  </r>
  <r>
    <n v="14"/>
    <x v="99"/>
    <x v="4"/>
    <s v="Marketing Specialist"/>
    <s v="Male"/>
    <n v="41"/>
    <n v="5545"/>
    <n v="13"/>
    <n v="5"/>
    <x v="0"/>
    <x v="1"/>
    <s v="Ahmed Hassan"/>
    <n v="66540"/>
    <x v="0"/>
    <x v="0"/>
    <x v="1"/>
  </r>
  <r>
    <n v="21"/>
    <x v="100"/>
    <x v="2"/>
    <s v="Sales Executive"/>
    <s v="Male"/>
    <n v="38"/>
    <n v="14850"/>
    <n v="15"/>
    <n v="4"/>
    <x v="1"/>
    <x v="2"/>
    <s v="Khaled Samir"/>
    <n v="178200"/>
    <x v="0"/>
    <x v="0"/>
    <x v="1"/>
  </r>
  <r>
    <n v="24"/>
    <x v="101"/>
    <x v="0"/>
    <s v="Financial Analyst"/>
    <s v="Male"/>
    <n v="41"/>
    <n v="14197"/>
    <n v="9"/>
    <n v="4"/>
    <x v="1"/>
    <x v="0"/>
    <s v="Khaled Samir"/>
    <n v="170364"/>
    <x v="0"/>
    <x v="0"/>
    <x v="1"/>
  </r>
  <r>
    <n v="28"/>
    <x v="102"/>
    <x v="2"/>
    <s v="Sales Executive"/>
    <s v="Male"/>
    <n v="33"/>
    <n v="6269"/>
    <n v="15"/>
    <n v="5"/>
    <x v="0"/>
    <x v="1"/>
    <s v="Youssef Mahmoud"/>
    <n v="75228"/>
    <x v="0"/>
    <x v="0"/>
    <x v="1"/>
  </r>
  <r>
    <n v="32"/>
    <x v="103"/>
    <x v="0"/>
    <s v="Accountant"/>
    <s v="Male"/>
    <n v="49"/>
    <n v="19157"/>
    <n v="13"/>
    <n v="5"/>
    <x v="0"/>
    <x v="1"/>
    <s v="Youssef Mahmoud"/>
    <n v="229884"/>
    <x v="1"/>
    <x v="0"/>
    <x v="1"/>
  </r>
  <r>
    <n v="36"/>
    <x v="104"/>
    <x v="2"/>
    <s v="Sales Manager"/>
    <s v="Female"/>
    <n v="27"/>
    <n v="11965"/>
    <n v="12"/>
    <n v="4"/>
    <x v="0"/>
    <x v="1"/>
    <s v="Youssef Mahmoud"/>
    <n v="143580"/>
    <x v="2"/>
    <x v="0"/>
    <x v="1"/>
  </r>
  <r>
    <n v="38"/>
    <x v="105"/>
    <x v="1"/>
    <s v="Operations Officer"/>
    <s v="Male"/>
    <n v="30"/>
    <n v="13882"/>
    <n v="13"/>
    <n v="4"/>
    <x v="1"/>
    <x v="1"/>
    <s v="Sara Adel"/>
    <n v="166584"/>
    <x v="0"/>
    <x v="0"/>
    <x v="1"/>
  </r>
  <r>
    <n v="45"/>
    <x v="106"/>
    <x v="3"/>
    <s v="HR Executive"/>
    <s v="Female"/>
    <n v="41"/>
    <n v="14874"/>
    <n v="9"/>
    <n v="5"/>
    <x v="1"/>
    <x v="1"/>
    <s v="Ahmed Hassan"/>
    <n v="178488"/>
    <x v="0"/>
    <x v="0"/>
    <x v="1"/>
  </r>
  <r>
    <n v="46"/>
    <x v="107"/>
    <x v="5"/>
    <s v="Software Engineer"/>
    <s v="Female"/>
    <n v="28"/>
    <n v="16433"/>
    <n v="12"/>
    <n v="5"/>
    <x v="1"/>
    <x v="0"/>
    <s v="Youssef Mahmoud"/>
    <n v="197196"/>
    <x v="2"/>
    <x v="0"/>
    <x v="1"/>
  </r>
  <r>
    <n v="49"/>
    <x v="108"/>
    <x v="3"/>
    <s v="Recruiter"/>
    <s v="Female"/>
    <n v="53"/>
    <n v="11772"/>
    <n v="11"/>
    <n v="4"/>
    <x v="0"/>
    <x v="2"/>
    <s v="Sara Adel"/>
    <n v="141264"/>
    <x v="1"/>
    <x v="0"/>
    <x v="1"/>
  </r>
  <r>
    <n v="72"/>
    <x v="109"/>
    <x v="1"/>
    <s v="Supply Chain Analyst"/>
    <s v="Male"/>
    <n v="23"/>
    <n v="17474"/>
    <n v="12"/>
    <n v="5"/>
    <x v="0"/>
    <x v="1"/>
    <s v="Youssef Mahmoud"/>
    <n v="209688"/>
    <x v="2"/>
    <x v="0"/>
    <x v="1"/>
  </r>
  <r>
    <n v="82"/>
    <x v="110"/>
    <x v="4"/>
    <s v="Marketing Specialist"/>
    <s v="Female"/>
    <n v="45"/>
    <n v="17468"/>
    <n v="13"/>
    <n v="4"/>
    <x v="0"/>
    <x v="1"/>
    <s v="Youssef Mahmoud"/>
    <n v="209616"/>
    <x v="0"/>
    <x v="0"/>
    <x v="1"/>
  </r>
  <r>
    <n v="83"/>
    <x v="111"/>
    <x v="0"/>
    <s v="Financial Analyst"/>
    <s v="Female"/>
    <n v="42"/>
    <n v="6689"/>
    <n v="13"/>
    <n v="4"/>
    <x v="0"/>
    <x v="0"/>
    <s v="Sara Adel"/>
    <n v="80268"/>
    <x v="0"/>
    <x v="0"/>
    <x v="1"/>
  </r>
  <r>
    <n v="84"/>
    <x v="112"/>
    <x v="0"/>
    <s v="Financial Analyst"/>
    <s v="Female"/>
    <n v="58"/>
    <n v="8586"/>
    <n v="14"/>
    <n v="4"/>
    <x v="0"/>
    <x v="1"/>
    <s v="Sara Adel"/>
    <n v="103032"/>
    <x v="1"/>
    <x v="0"/>
    <x v="1"/>
  </r>
  <r>
    <n v="97"/>
    <x v="113"/>
    <x v="1"/>
    <s v="Operations Officer"/>
    <s v="Female"/>
    <n v="32"/>
    <n v="19440"/>
    <n v="10"/>
    <n v="4"/>
    <x v="0"/>
    <x v="2"/>
    <s v="Mona Ali"/>
    <n v="233280"/>
    <x v="0"/>
    <x v="0"/>
    <x v="1"/>
  </r>
  <r>
    <n v="98"/>
    <x v="114"/>
    <x v="0"/>
    <s v="Accountant"/>
    <s v="Female"/>
    <n v="28"/>
    <n v="6435"/>
    <n v="8"/>
    <n v="5"/>
    <x v="0"/>
    <x v="0"/>
    <s v="Mona Ali"/>
    <n v="77220"/>
    <x v="2"/>
    <x v="0"/>
    <x v="1"/>
  </r>
  <r>
    <n v="105"/>
    <x v="115"/>
    <x v="2"/>
    <s v="Sales Executive"/>
    <s v="Male"/>
    <n v="42"/>
    <n v="5370"/>
    <n v="9"/>
    <n v="5"/>
    <x v="1"/>
    <x v="2"/>
    <s v="Youssef Mahmoud"/>
    <n v="64440"/>
    <x v="0"/>
    <x v="0"/>
    <x v="1"/>
  </r>
  <r>
    <n v="108"/>
    <x v="116"/>
    <x v="0"/>
    <s v="Accountant"/>
    <s v="Male"/>
    <n v="60"/>
    <n v="9428"/>
    <n v="8"/>
    <n v="5"/>
    <x v="1"/>
    <x v="1"/>
    <s v="Khaled Samir"/>
    <n v="113136"/>
    <x v="1"/>
    <x v="0"/>
    <x v="1"/>
  </r>
  <r>
    <n v="110"/>
    <x v="117"/>
    <x v="2"/>
    <s v="Sales Executive"/>
    <s v="Male"/>
    <n v="44"/>
    <n v="11736"/>
    <n v="15"/>
    <n v="4"/>
    <x v="0"/>
    <x v="1"/>
    <s v="Sara Adel"/>
    <n v="140832"/>
    <x v="0"/>
    <x v="0"/>
    <x v="1"/>
  </r>
  <r>
    <n v="117"/>
    <x v="118"/>
    <x v="2"/>
    <s v="Sales Executive"/>
    <s v="Male"/>
    <n v="59"/>
    <n v="17664"/>
    <n v="14"/>
    <n v="4"/>
    <x v="0"/>
    <x v="0"/>
    <s v="Sara Adel"/>
    <n v="211968"/>
    <x v="1"/>
    <x v="0"/>
    <x v="1"/>
  </r>
  <r>
    <n v="121"/>
    <x v="119"/>
    <x v="0"/>
    <s v="Accountant"/>
    <s v="Female"/>
    <n v="28"/>
    <n v="8191"/>
    <n v="14"/>
    <n v="4"/>
    <x v="1"/>
    <x v="0"/>
    <s v="Sara Adel"/>
    <n v="98292"/>
    <x v="2"/>
    <x v="0"/>
    <x v="1"/>
  </r>
  <r>
    <n v="123"/>
    <x v="120"/>
    <x v="0"/>
    <s v="Financial Analyst"/>
    <s v="Male"/>
    <n v="22"/>
    <n v="6541"/>
    <n v="14"/>
    <n v="5"/>
    <x v="0"/>
    <x v="2"/>
    <s v="Ahmed Hassan"/>
    <n v="78492"/>
    <x v="2"/>
    <x v="0"/>
    <x v="1"/>
  </r>
  <r>
    <n v="130"/>
    <x v="121"/>
    <x v="0"/>
    <s v="Financial Analyst"/>
    <s v="Male"/>
    <n v="24"/>
    <n v="18541"/>
    <n v="12"/>
    <n v="4"/>
    <x v="0"/>
    <x v="1"/>
    <s v="Khaled Samir"/>
    <n v="222492"/>
    <x v="2"/>
    <x v="0"/>
    <x v="1"/>
  </r>
  <r>
    <n v="131"/>
    <x v="104"/>
    <x v="5"/>
    <s v="Software Engineer"/>
    <s v="Female"/>
    <n v="26"/>
    <n v="4425"/>
    <n v="9"/>
    <n v="4"/>
    <x v="0"/>
    <x v="1"/>
    <s v="Sara Adel"/>
    <n v="53100"/>
    <x v="2"/>
    <x v="0"/>
    <x v="1"/>
  </r>
  <r>
    <n v="133"/>
    <x v="122"/>
    <x v="4"/>
    <s v="Marketing Specialist"/>
    <s v="Male"/>
    <n v="52"/>
    <n v="9881"/>
    <n v="12"/>
    <n v="4"/>
    <x v="0"/>
    <x v="2"/>
    <s v="Khaled Samir"/>
    <n v="118572"/>
    <x v="1"/>
    <x v="0"/>
    <x v="1"/>
  </r>
  <r>
    <n v="135"/>
    <x v="123"/>
    <x v="5"/>
    <s v="Software Engineer"/>
    <s v="Female"/>
    <n v="24"/>
    <n v="17355"/>
    <n v="10"/>
    <n v="5"/>
    <x v="0"/>
    <x v="0"/>
    <s v="Youssef Mahmoud"/>
    <n v="208260"/>
    <x v="2"/>
    <x v="0"/>
    <x v="1"/>
  </r>
  <r>
    <n v="148"/>
    <x v="124"/>
    <x v="2"/>
    <s v="Sales Executive"/>
    <s v="Male"/>
    <n v="32"/>
    <n v="5336"/>
    <n v="13"/>
    <n v="4"/>
    <x v="0"/>
    <x v="1"/>
    <s v="Youssef Mahmoud"/>
    <n v="64032"/>
    <x v="0"/>
    <x v="0"/>
    <x v="1"/>
  </r>
  <r>
    <n v="163"/>
    <x v="125"/>
    <x v="0"/>
    <s v="Financial Analyst"/>
    <s v="Male"/>
    <n v="60"/>
    <n v="18191"/>
    <n v="8"/>
    <n v="5"/>
    <x v="0"/>
    <x v="1"/>
    <s v="Khaled Samir"/>
    <n v="218292"/>
    <x v="1"/>
    <x v="0"/>
    <x v="1"/>
  </r>
  <r>
    <n v="176"/>
    <x v="126"/>
    <x v="1"/>
    <s v="Operations Officer"/>
    <s v="Female"/>
    <n v="46"/>
    <n v="11618"/>
    <n v="11"/>
    <n v="4"/>
    <x v="1"/>
    <x v="1"/>
    <s v="Ahmed Hassan"/>
    <n v="139416"/>
    <x v="1"/>
    <x v="0"/>
    <x v="1"/>
  </r>
  <r>
    <n v="179"/>
    <x v="127"/>
    <x v="1"/>
    <s v="Operations Officer"/>
    <s v="Male"/>
    <n v="45"/>
    <n v="5571"/>
    <n v="13"/>
    <n v="4"/>
    <x v="0"/>
    <x v="0"/>
    <s v="Sara Adel"/>
    <n v="66852"/>
    <x v="0"/>
    <x v="0"/>
    <x v="1"/>
  </r>
  <r>
    <n v="180"/>
    <x v="128"/>
    <x v="1"/>
    <s v="Supply Chain Analyst"/>
    <s v="Female"/>
    <n v="54"/>
    <n v="6306"/>
    <n v="8"/>
    <n v="5"/>
    <x v="1"/>
    <x v="1"/>
    <s v="Sara Adel"/>
    <n v="75672"/>
    <x v="1"/>
    <x v="0"/>
    <x v="1"/>
  </r>
  <r>
    <n v="181"/>
    <x v="129"/>
    <x v="4"/>
    <s v="Content Creator"/>
    <s v="Male"/>
    <n v="59"/>
    <n v="13963"/>
    <n v="10"/>
    <n v="4"/>
    <x v="1"/>
    <x v="1"/>
    <s v="Mona Ali"/>
    <n v="167556"/>
    <x v="1"/>
    <x v="0"/>
    <x v="1"/>
  </r>
  <r>
    <n v="182"/>
    <x v="130"/>
    <x v="5"/>
    <s v="Data Analyst"/>
    <s v="Female"/>
    <n v="29"/>
    <n v="19266"/>
    <n v="14"/>
    <n v="4"/>
    <x v="0"/>
    <x v="2"/>
    <s v="Sara Adel"/>
    <n v="231192"/>
    <x v="2"/>
    <x v="0"/>
    <x v="1"/>
  </r>
  <r>
    <n v="183"/>
    <x v="131"/>
    <x v="0"/>
    <s v="Accountant"/>
    <s v="Male"/>
    <n v="28"/>
    <n v="13020"/>
    <n v="8"/>
    <n v="5"/>
    <x v="1"/>
    <x v="1"/>
    <s v="Mona Ali"/>
    <n v="156240"/>
    <x v="2"/>
    <x v="0"/>
    <x v="1"/>
  </r>
  <r>
    <n v="199"/>
    <x v="132"/>
    <x v="0"/>
    <s v="Financial Analyst"/>
    <s v="Male"/>
    <n v="43"/>
    <n v="17290"/>
    <n v="11"/>
    <n v="4"/>
    <x v="1"/>
    <x v="2"/>
    <s v="Youssef Mahmoud"/>
    <n v="207480"/>
    <x v="0"/>
    <x v="0"/>
    <x v="1"/>
  </r>
  <r>
    <n v="207"/>
    <x v="133"/>
    <x v="4"/>
    <s v="Content Creator"/>
    <s v="Male"/>
    <n v="23"/>
    <n v="12914"/>
    <n v="15"/>
    <n v="5"/>
    <x v="1"/>
    <x v="2"/>
    <s v="Mona Ali"/>
    <n v="154968"/>
    <x v="2"/>
    <x v="0"/>
    <x v="1"/>
  </r>
  <r>
    <n v="208"/>
    <x v="134"/>
    <x v="1"/>
    <s v="Operations Officer"/>
    <s v="Male"/>
    <n v="41"/>
    <n v="19866"/>
    <n v="9"/>
    <n v="4"/>
    <x v="1"/>
    <x v="2"/>
    <s v="Ahmed Hassan"/>
    <n v="238392"/>
    <x v="0"/>
    <x v="0"/>
    <x v="1"/>
  </r>
  <r>
    <n v="214"/>
    <x v="135"/>
    <x v="5"/>
    <s v="IT Support"/>
    <s v="Male"/>
    <n v="51"/>
    <n v="7713"/>
    <n v="12"/>
    <n v="4"/>
    <x v="1"/>
    <x v="0"/>
    <s v="Ahmed Hassan"/>
    <n v="92556"/>
    <x v="1"/>
    <x v="0"/>
    <x v="1"/>
  </r>
  <r>
    <n v="219"/>
    <x v="136"/>
    <x v="1"/>
    <s v="Supply Chain Analyst"/>
    <s v="Female"/>
    <n v="49"/>
    <n v="11311"/>
    <n v="14"/>
    <n v="5"/>
    <x v="0"/>
    <x v="2"/>
    <s v="Ahmed Hassan"/>
    <n v="135732"/>
    <x v="1"/>
    <x v="0"/>
    <x v="1"/>
  </r>
  <r>
    <n v="220"/>
    <x v="137"/>
    <x v="5"/>
    <s v="Software Engineer"/>
    <s v="Female"/>
    <n v="49"/>
    <n v="12562"/>
    <n v="8"/>
    <n v="4"/>
    <x v="1"/>
    <x v="2"/>
    <s v="Mona Ali"/>
    <n v="150744"/>
    <x v="1"/>
    <x v="0"/>
    <x v="1"/>
  </r>
  <r>
    <n v="224"/>
    <x v="138"/>
    <x v="4"/>
    <s v="Content Creator"/>
    <s v="Female"/>
    <n v="39"/>
    <n v="16595"/>
    <n v="8"/>
    <n v="5"/>
    <x v="1"/>
    <x v="2"/>
    <s v="Youssef Mahmoud"/>
    <n v="199140"/>
    <x v="0"/>
    <x v="0"/>
    <x v="1"/>
  </r>
  <r>
    <n v="229"/>
    <x v="139"/>
    <x v="4"/>
    <s v="Content Creator"/>
    <s v="Male"/>
    <n v="59"/>
    <n v="17912"/>
    <n v="12"/>
    <n v="5"/>
    <x v="1"/>
    <x v="1"/>
    <s v="Sara Adel"/>
    <n v="214944"/>
    <x v="1"/>
    <x v="0"/>
    <x v="1"/>
  </r>
  <r>
    <n v="233"/>
    <x v="140"/>
    <x v="4"/>
    <s v="Content Creator"/>
    <s v="Female"/>
    <n v="47"/>
    <n v="17833"/>
    <n v="10"/>
    <n v="4"/>
    <x v="0"/>
    <x v="0"/>
    <s v="Mona Ali"/>
    <n v="213996"/>
    <x v="1"/>
    <x v="0"/>
    <x v="1"/>
  </r>
  <r>
    <n v="246"/>
    <x v="141"/>
    <x v="4"/>
    <s v="Content Creator"/>
    <s v="Female"/>
    <n v="53"/>
    <n v="18039"/>
    <n v="9"/>
    <n v="5"/>
    <x v="1"/>
    <x v="2"/>
    <s v="Sara Adel"/>
    <n v="216468"/>
    <x v="1"/>
    <x v="0"/>
    <x v="1"/>
  </r>
  <r>
    <n v="252"/>
    <x v="142"/>
    <x v="5"/>
    <s v="Software Engineer"/>
    <s v="Female"/>
    <n v="58"/>
    <n v="17241"/>
    <n v="11"/>
    <n v="4"/>
    <x v="1"/>
    <x v="2"/>
    <s v="Youssef Mahmoud"/>
    <n v="206892"/>
    <x v="1"/>
    <x v="0"/>
    <x v="1"/>
  </r>
  <r>
    <n v="269"/>
    <x v="143"/>
    <x v="0"/>
    <s v="Accountant"/>
    <s v="Male"/>
    <n v="46"/>
    <n v="7397"/>
    <n v="13"/>
    <n v="4"/>
    <x v="0"/>
    <x v="2"/>
    <s v="Mona Ali"/>
    <n v="88764"/>
    <x v="1"/>
    <x v="0"/>
    <x v="1"/>
  </r>
  <r>
    <n v="275"/>
    <x v="144"/>
    <x v="0"/>
    <s v="Financial Analyst"/>
    <s v="Female"/>
    <n v="55"/>
    <n v="19218"/>
    <n v="11"/>
    <n v="5"/>
    <x v="0"/>
    <x v="2"/>
    <s v="Khaled Samir"/>
    <n v="230616"/>
    <x v="1"/>
    <x v="0"/>
    <x v="1"/>
  </r>
  <r>
    <n v="277"/>
    <x v="145"/>
    <x v="3"/>
    <s v="HR Executive"/>
    <s v="Male"/>
    <n v="37"/>
    <n v="10994"/>
    <n v="15"/>
    <n v="4"/>
    <x v="0"/>
    <x v="0"/>
    <s v="Sara Adel"/>
    <n v="131928"/>
    <x v="0"/>
    <x v="0"/>
    <x v="1"/>
  </r>
  <r>
    <n v="297"/>
    <x v="146"/>
    <x v="5"/>
    <s v="IT Support"/>
    <s v="Female"/>
    <n v="33"/>
    <n v="18551"/>
    <n v="10"/>
    <n v="4"/>
    <x v="1"/>
    <x v="0"/>
    <s v="Khaled Samir"/>
    <n v="222612"/>
    <x v="0"/>
    <x v="0"/>
    <x v="1"/>
  </r>
  <r>
    <n v="298"/>
    <x v="147"/>
    <x v="5"/>
    <s v="Data Analyst"/>
    <s v="Female"/>
    <n v="60"/>
    <n v="12963"/>
    <n v="10"/>
    <n v="5"/>
    <x v="1"/>
    <x v="1"/>
    <s v="Sara Adel"/>
    <n v="155556"/>
    <x v="1"/>
    <x v="0"/>
    <x v="1"/>
  </r>
  <r>
    <n v="302"/>
    <x v="148"/>
    <x v="2"/>
    <s v="Sales Manager"/>
    <s v="Female"/>
    <n v="43"/>
    <n v="19442"/>
    <n v="12"/>
    <n v="5"/>
    <x v="0"/>
    <x v="1"/>
    <s v="Mona Ali"/>
    <n v="233304"/>
    <x v="0"/>
    <x v="0"/>
    <x v="1"/>
  </r>
  <r>
    <n v="305"/>
    <x v="149"/>
    <x v="5"/>
    <s v="Software Engineer"/>
    <s v="Male"/>
    <n v="59"/>
    <n v="9913"/>
    <n v="14"/>
    <n v="4"/>
    <x v="0"/>
    <x v="1"/>
    <s v="Sara Adel"/>
    <n v="118956"/>
    <x v="1"/>
    <x v="0"/>
    <x v="1"/>
  </r>
  <r>
    <n v="313"/>
    <x v="150"/>
    <x v="4"/>
    <s v="Marketing Specialist"/>
    <s v="Male"/>
    <n v="51"/>
    <n v="10857"/>
    <n v="13"/>
    <n v="4"/>
    <x v="1"/>
    <x v="0"/>
    <s v="Mona Ali"/>
    <n v="130284"/>
    <x v="1"/>
    <x v="0"/>
    <x v="1"/>
  </r>
  <r>
    <n v="314"/>
    <x v="151"/>
    <x v="2"/>
    <s v="Sales Executive"/>
    <s v="Female"/>
    <n v="24"/>
    <n v="16070"/>
    <n v="13"/>
    <n v="4"/>
    <x v="0"/>
    <x v="2"/>
    <s v="Khaled Samir"/>
    <n v="192840"/>
    <x v="2"/>
    <x v="0"/>
    <x v="1"/>
  </r>
  <r>
    <n v="315"/>
    <x v="152"/>
    <x v="0"/>
    <s v="Financial Analyst"/>
    <s v="Male"/>
    <n v="49"/>
    <n v="17447"/>
    <n v="12"/>
    <n v="4"/>
    <x v="0"/>
    <x v="0"/>
    <s v="Mona Ali"/>
    <n v="209364"/>
    <x v="1"/>
    <x v="0"/>
    <x v="1"/>
  </r>
  <r>
    <n v="328"/>
    <x v="153"/>
    <x v="3"/>
    <s v="HR Executive"/>
    <s v="Male"/>
    <n v="59"/>
    <n v="12539"/>
    <n v="8"/>
    <n v="4"/>
    <x v="1"/>
    <x v="2"/>
    <s v="Khaled Samir"/>
    <n v="150468"/>
    <x v="1"/>
    <x v="0"/>
    <x v="1"/>
  </r>
  <r>
    <n v="329"/>
    <x v="154"/>
    <x v="0"/>
    <s v="Financial Analyst"/>
    <s v="Male"/>
    <n v="23"/>
    <n v="7319"/>
    <n v="13"/>
    <n v="4"/>
    <x v="1"/>
    <x v="0"/>
    <s v="Sara Adel"/>
    <n v="87828"/>
    <x v="2"/>
    <x v="0"/>
    <x v="1"/>
  </r>
  <r>
    <n v="333"/>
    <x v="155"/>
    <x v="5"/>
    <s v="Software Engineer"/>
    <s v="Male"/>
    <n v="33"/>
    <n v="15917"/>
    <n v="15"/>
    <n v="5"/>
    <x v="0"/>
    <x v="2"/>
    <s v="Khaled Samir"/>
    <n v="191004"/>
    <x v="0"/>
    <x v="0"/>
    <x v="1"/>
  </r>
  <r>
    <n v="343"/>
    <x v="156"/>
    <x v="3"/>
    <s v="HR Executive"/>
    <s v="Female"/>
    <n v="60"/>
    <n v="4932"/>
    <n v="8"/>
    <n v="4"/>
    <x v="1"/>
    <x v="0"/>
    <s v="Khaled Samir"/>
    <n v="59184"/>
    <x v="1"/>
    <x v="0"/>
    <x v="1"/>
  </r>
  <r>
    <n v="349"/>
    <x v="157"/>
    <x v="2"/>
    <s v="Sales Executive"/>
    <s v="Male"/>
    <n v="23"/>
    <n v="16005"/>
    <n v="14"/>
    <n v="4"/>
    <x v="1"/>
    <x v="1"/>
    <s v="Youssef Mahmoud"/>
    <n v="192060"/>
    <x v="2"/>
    <x v="0"/>
    <x v="1"/>
  </r>
  <r>
    <n v="352"/>
    <x v="158"/>
    <x v="1"/>
    <s v="Operations Officer"/>
    <s v="Female"/>
    <n v="55"/>
    <n v="11268"/>
    <n v="13"/>
    <n v="5"/>
    <x v="1"/>
    <x v="0"/>
    <s v="Youssef Mahmoud"/>
    <n v="135216"/>
    <x v="1"/>
    <x v="0"/>
    <x v="1"/>
  </r>
  <r>
    <n v="361"/>
    <x v="159"/>
    <x v="2"/>
    <s v="Sales Manager"/>
    <s v="Female"/>
    <n v="34"/>
    <n v="11575"/>
    <n v="8"/>
    <n v="5"/>
    <x v="1"/>
    <x v="0"/>
    <s v="Youssef Mahmoud"/>
    <n v="138900"/>
    <x v="0"/>
    <x v="0"/>
    <x v="1"/>
  </r>
  <r>
    <n v="364"/>
    <x v="160"/>
    <x v="5"/>
    <s v="Data Analyst"/>
    <s v="Male"/>
    <n v="30"/>
    <n v="18907"/>
    <n v="9"/>
    <n v="4"/>
    <x v="1"/>
    <x v="1"/>
    <s v="Ahmed Hassan"/>
    <n v="226884"/>
    <x v="0"/>
    <x v="0"/>
    <x v="1"/>
  </r>
  <r>
    <n v="369"/>
    <x v="161"/>
    <x v="3"/>
    <s v="HR Executive"/>
    <s v="Female"/>
    <n v="60"/>
    <n v="18701"/>
    <n v="10"/>
    <n v="5"/>
    <x v="1"/>
    <x v="0"/>
    <s v="Ahmed Hassan"/>
    <n v="224412"/>
    <x v="1"/>
    <x v="0"/>
    <x v="1"/>
  </r>
  <r>
    <n v="372"/>
    <x v="162"/>
    <x v="1"/>
    <s v="Supply Chain Analyst"/>
    <s v="Female"/>
    <n v="55"/>
    <n v="18175"/>
    <n v="14"/>
    <n v="5"/>
    <x v="1"/>
    <x v="0"/>
    <s v="Khaled Samir"/>
    <n v="218100"/>
    <x v="1"/>
    <x v="0"/>
    <x v="1"/>
  </r>
  <r>
    <n v="374"/>
    <x v="163"/>
    <x v="3"/>
    <s v="Recruiter"/>
    <s v="Female"/>
    <n v="26"/>
    <n v="5347"/>
    <n v="10"/>
    <n v="5"/>
    <x v="0"/>
    <x v="1"/>
    <s v="Youssef Mahmoud"/>
    <n v="64164"/>
    <x v="2"/>
    <x v="0"/>
    <x v="1"/>
  </r>
  <r>
    <n v="386"/>
    <x v="164"/>
    <x v="0"/>
    <s v="Accountant"/>
    <s v="Male"/>
    <n v="60"/>
    <n v="11045"/>
    <n v="12"/>
    <n v="5"/>
    <x v="1"/>
    <x v="1"/>
    <s v="Ahmed Hassan"/>
    <n v="132540"/>
    <x v="1"/>
    <x v="0"/>
    <x v="1"/>
  </r>
  <r>
    <n v="389"/>
    <x v="165"/>
    <x v="1"/>
    <s v="Supply Chain Analyst"/>
    <s v="Female"/>
    <n v="36"/>
    <n v="6600"/>
    <n v="12"/>
    <n v="5"/>
    <x v="1"/>
    <x v="2"/>
    <s v="Mona Ali"/>
    <n v="79200"/>
    <x v="0"/>
    <x v="0"/>
    <x v="1"/>
  </r>
  <r>
    <n v="393"/>
    <x v="166"/>
    <x v="4"/>
    <s v="Content Creator"/>
    <s v="Female"/>
    <n v="28"/>
    <n v="13363"/>
    <n v="10"/>
    <n v="5"/>
    <x v="0"/>
    <x v="0"/>
    <s v="Mona Ali"/>
    <n v="160356"/>
    <x v="2"/>
    <x v="0"/>
    <x v="1"/>
  </r>
  <r>
    <n v="395"/>
    <x v="167"/>
    <x v="4"/>
    <s v="Marketing Specialist"/>
    <s v="Male"/>
    <n v="37"/>
    <n v="6172"/>
    <n v="9"/>
    <n v="5"/>
    <x v="1"/>
    <x v="1"/>
    <s v="Sara Adel"/>
    <n v="74064"/>
    <x v="0"/>
    <x v="0"/>
    <x v="1"/>
  </r>
  <r>
    <n v="398"/>
    <x v="168"/>
    <x v="1"/>
    <s v="Supply Chain Analyst"/>
    <s v="Female"/>
    <n v="53"/>
    <n v="8298"/>
    <n v="10"/>
    <n v="4"/>
    <x v="1"/>
    <x v="1"/>
    <s v="Mona Ali"/>
    <n v="99576"/>
    <x v="1"/>
    <x v="0"/>
    <x v="1"/>
  </r>
  <r>
    <n v="399"/>
    <x v="169"/>
    <x v="1"/>
    <s v="Supply Chain Analyst"/>
    <s v="Female"/>
    <n v="30"/>
    <n v="14501"/>
    <n v="14"/>
    <n v="5"/>
    <x v="0"/>
    <x v="2"/>
    <s v="Khaled Samir"/>
    <n v="174012"/>
    <x v="0"/>
    <x v="0"/>
    <x v="1"/>
  </r>
  <r>
    <n v="403"/>
    <x v="170"/>
    <x v="3"/>
    <s v="HR Executive"/>
    <s v="Female"/>
    <n v="48"/>
    <n v="12992"/>
    <n v="11"/>
    <n v="5"/>
    <x v="1"/>
    <x v="2"/>
    <s v="Khaled Samir"/>
    <n v="155904"/>
    <x v="1"/>
    <x v="0"/>
    <x v="1"/>
  </r>
  <r>
    <n v="428"/>
    <x v="171"/>
    <x v="3"/>
    <s v="Recruiter"/>
    <s v="Female"/>
    <n v="31"/>
    <n v="18478"/>
    <n v="11"/>
    <n v="4"/>
    <x v="1"/>
    <x v="1"/>
    <s v="Youssef Mahmoud"/>
    <n v="221736"/>
    <x v="0"/>
    <x v="0"/>
    <x v="1"/>
  </r>
  <r>
    <n v="429"/>
    <x v="172"/>
    <x v="5"/>
    <s v="IT Support"/>
    <s v="Female"/>
    <n v="42"/>
    <n v="17025"/>
    <n v="15"/>
    <n v="4"/>
    <x v="1"/>
    <x v="0"/>
    <s v="Khaled Samir"/>
    <n v="204300"/>
    <x v="0"/>
    <x v="0"/>
    <x v="1"/>
  </r>
  <r>
    <n v="433"/>
    <x v="173"/>
    <x v="5"/>
    <s v="Software Engineer"/>
    <s v="Male"/>
    <n v="53"/>
    <n v="9446"/>
    <n v="10"/>
    <n v="4"/>
    <x v="0"/>
    <x v="2"/>
    <s v="Sara Adel"/>
    <n v="113352"/>
    <x v="1"/>
    <x v="0"/>
    <x v="1"/>
  </r>
  <r>
    <n v="436"/>
    <x v="174"/>
    <x v="4"/>
    <s v="Marketing Specialist"/>
    <s v="Female"/>
    <n v="35"/>
    <n v="5689"/>
    <n v="11"/>
    <n v="5"/>
    <x v="1"/>
    <x v="0"/>
    <s v="Sara Adel"/>
    <n v="68268"/>
    <x v="0"/>
    <x v="0"/>
    <x v="1"/>
  </r>
  <r>
    <n v="442"/>
    <x v="175"/>
    <x v="0"/>
    <s v="Financial Analyst"/>
    <s v="Male"/>
    <n v="54"/>
    <n v="15363"/>
    <n v="13"/>
    <n v="5"/>
    <x v="1"/>
    <x v="0"/>
    <s v="Youssef Mahmoud"/>
    <n v="184356"/>
    <x v="1"/>
    <x v="0"/>
    <x v="1"/>
  </r>
  <r>
    <n v="444"/>
    <x v="176"/>
    <x v="1"/>
    <s v="Operations Officer"/>
    <s v="Female"/>
    <n v="50"/>
    <n v="4409"/>
    <n v="11"/>
    <n v="5"/>
    <x v="0"/>
    <x v="0"/>
    <s v="Ahmed Hassan"/>
    <n v="52908"/>
    <x v="1"/>
    <x v="0"/>
    <x v="1"/>
  </r>
  <r>
    <n v="446"/>
    <x v="177"/>
    <x v="3"/>
    <s v="HR Executive"/>
    <s v="Male"/>
    <n v="58"/>
    <n v="16953"/>
    <n v="10"/>
    <n v="4"/>
    <x v="1"/>
    <x v="0"/>
    <s v="Mona Ali"/>
    <n v="203436"/>
    <x v="1"/>
    <x v="0"/>
    <x v="1"/>
  </r>
  <r>
    <n v="449"/>
    <x v="178"/>
    <x v="5"/>
    <s v="Software Engineer"/>
    <s v="Male"/>
    <n v="50"/>
    <n v="10287"/>
    <n v="13"/>
    <n v="5"/>
    <x v="0"/>
    <x v="2"/>
    <s v="Sara Adel"/>
    <n v="123444"/>
    <x v="1"/>
    <x v="0"/>
    <x v="1"/>
  </r>
  <r>
    <n v="453"/>
    <x v="179"/>
    <x v="0"/>
    <s v="Financial Analyst"/>
    <s v="Male"/>
    <n v="30"/>
    <n v="18982"/>
    <n v="9"/>
    <n v="4"/>
    <x v="0"/>
    <x v="2"/>
    <s v="Ahmed Hassan"/>
    <n v="227784"/>
    <x v="0"/>
    <x v="0"/>
    <x v="1"/>
  </r>
  <r>
    <n v="459"/>
    <x v="180"/>
    <x v="5"/>
    <s v="Data Analyst"/>
    <s v="Female"/>
    <n v="54"/>
    <n v="8625"/>
    <n v="9"/>
    <n v="4"/>
    <x v="0"/>
    <x v="1"/>
    <s v="Sara Adel"/>
    <n v="103500"/>
    <x v="1"/>
    <x v="0"/>
    <x v="1"/>
  </r>
  <r>
    <n v="462"/>
    <x v="181"/>
    <x v="3"/>
    <s v="HR Executive"/>
    <s v="Male"/>
    <n v="33"/>
    <n v="10553"/>
    <n v="8"/>
    <n v="5"/>
    <x v="1"/>
    <x v="2"/>
    <s v="Ahmed Hassan"/>
    <n v="126636"/>
    <x v="0"/>
    <x v="0"/>
    <x v="1"/>
  </r>
  <r>
    <n v="467"/>
    <x v="182"/>
    <x v="0"/>
    <s v="Financial Analyst"/>
    <s v="Female"/>
    <n v="28"/>
    <n v="11808"/>
    <n v="8"/>
    <n v="4"/>
    <x v="0"/>
    <x v="1"/>
    <s v="Sara Adel"/>
    <n v="141696"/>
    <x v="2"/>
    <x v="0"/>
    <x v="1"/>
  </r>
  <r>
    <n v="479"/>
    <x v="183"/>
    <x v="5"/>
    <s v="Data Analyst"/>
    <s v="Female"/>
    <n v="51"/>
    <n v="6147"/>
    <n v="11"/>
    <n v="4"/>
    <x v="0"/>
    <x v="1"/>
    <s v="Mona Ali"/>
    <n v="73764"/>
    <x v="1"/>
    <x v="0"/>
    <x v="1"/>
  </r>
  <r>
    <n v="481"/>
    <x v="184"/>
    <x v="4"/>
    <s v="Marketing Specialist"/>
    <s v="Male"/>
    <n v="29"/>
    <n v="14699"/>
    <n v="14"/>
    <n v="5"/>
    <x v="0"/>
    <x v="1"/>
    <s v="Youssef Mahmoud"/>
    <n v="176388"/>
    <x v="2"/>
    <x v="0"/>
    <x v="1"/>
  </r>
  <r>
    <n v="485"/>
    <x v="185"/>
    <x v="2"/>
    <s v="Sales Executive"/>
    <s v="Male"/>
    <n v="22"/>
    <n v="6783"/>
    <n v="11"/>
    <n v="4"/>
    <x v="0"/>
    <x v="2"/>
    <s v="Ahmed Hassan"/>
    <n v="81396"/>
    <x v="2"/>
    <x v="0"/>
    <x v="1"/>
  </r>
  <r>
    <n v="488"/>
    <x v="186"/>
    <x v="1"/>
    <s v="Operations Officer"/>
    <s v="Male"/>
    <n v="41"/>
    <n v="9349"/>
    <n v="12"/>
    <n v="4"/>
    <x v="0"/>
    <x v="1"/>
    <s v="Sara Adel"/>
    <n v="112188"/>
    <x v="0"/>
    <x v="0"/>
    <x v="1"/>
  </r>
  <r>
    <n v="489"/>
    <x v="187"/>
    <x v="0"/>
    <s v="Financial Analyst"/>
    <s v="Female"/>
    <n v="60"/>
    <n v="4897"/>
    <n v="13"/>
    <n v="5"/>
    <x v="0"/>
    <x v="2"/>
    <s v="Khaled Samir"/>
    <n v="58764"/>
    <x v="1"/>
    <x v="0"/>
    <x v="1"/>
  </r>
  <r>
    <n v="491"/>
    <x v="188"/>
    <x v="2"/>
    <s v="Sales Executive"/>
    <s v="Male"/>
    <n v="59"/>
    <n v="7279"/>
    <n v="12"/>
    <n v="4"/>
    <x v="0"/>
    <x v="1"/>
    <s v="Sara Adel"/>
    <n v="87348"/>
    <x v="1"/>
    <x v="0"/>
    <x v="1"/>
  </r>
  <r>
    <n v="494"/>
    <x v="189"/>
    <x v="2"/>
    <s v="Sales Manager"/>
    <s v="Male"/>
    <n v="40"/>
    <n v="11185"/>
    <n v="14"/>
    <n v="4"/>
    <x v="1"/>
    <x v="1"/>
    <s v="Mona Ali"/>
    <n v="134220"/>
    <x v="0"/>
    <x v="0"/>
    <x v="1"/>
  </r>
  <r>
    <n v="15"/>
    <x v="190"/>
    <x v="5"/>
    <s v="Software Engineer"/>
    <s v="Female"/>
    <n v="46"/>
    <n v="5189"/>
    <n v="10"/>
    <n v="3"/>
    <x v="0"/>
    <x v="0"/>
    <s v="Mona Ali"/>
    <n v="62268"/>
    <x v="1"/>
    <x v="0"/>
    <x v="2"/>
  </r>
  <r>
    <n v="30"/>
    <x v="191"/>
    <x v="3"/>
    <s v="HR Executive"/>
    <s v="Male"/>
    <n v="34"/>
    <n v="18565"/>
    <n v="13"/>
    <n v="3"/>
    <x v="1"/>
    <x v="2"/>
    <s v="Sara Adel"/>
    <n v="222780"/>
    <x v="0"/>
    <x v="0"/>
    <x v="2"/>
  </r>
  <r>
    <n v="33"/>
    <x v="192"/>
    <x v="4"/>
    <s v="Marketing Specialist"/>
    <s v="Female"/>
    <n v="44"/>
    <n v="4897"/>
    <n v="11"/>
    <n v="3"/>
    <x v="0"/>
    <x v="0"/>
    <s v="Mona Ali"/>
    <n v="58764"/>
    <x v="0"/>
    <x v="0"/>
    <x v="2"/>
  </r>
  <r>
    <n v="56"/>
    <x v="193"/>
    <x v="2"/>
    <s v="Sales Manager"/>
    <s v="Male"/>
    <n v="54"/>
    <n v="12718"/>
    <n v="15"/>
    <n v="3"/>
    <x v="1"/>
    <x v="0"/>
    <s v="Sara Adel"/>
    <n v="152616"/>
    <x v="1"/>
    <x v="0"/>
    <x v="2"/>
  </r>
  <r>
    <n v="66"/>
    <x v="194"/>
    <x v="3"/>
    <s v="Recruiter"/>
    <s v="Male"/>
    <n v="38"/>
    <n v="6054"/>
    <n v="8"/>
    <n v="3"/>
    <x v="1"/>
    <x v="1"/>
    <s v="Khaled Samir"/>
    <n v="72648"/>
    <x v="0"/>
    <x v="0"/>
    <x v="2"/>
  </r>
  <r>
    <n v="76"/>
    <x v="195"/>
    <x v="5"/>
    <s v="IT Support"/>
    <s v="Female"/>
    <n v="52"/>
    <n v="17987"/>
    <n v="11"/>
    <n v="3"/>
    <x v="0"/>
    <x v="0"/>
    <s v="Ahmed Hassan"/>
    <n v="215844"/>
    <x v="1"/>
    <x v="0"/>
    <x v="2"/>
  </r>
  <r>
    <n v="109"/>
    <x v="196"/>
    <x v="4"/>
    <s v="Marketing Specialist"/>
    <s v="Female"/>
    <n v="52"/>
    <n v="8345"/>
    <n v="8"/>
    <n v="3"/>
    <x v="1"/>
    <x v="2"/>
    <s v="Sara Adel"/>
    <n v="100140"/>
    <x v="1"/>
    <x v="0"/>
    <x v="2"/>
  </r>
  <r>
    <n v="111"/>
    <x v="197"/>
    <x v="3"/>
    <s v="Recruiter"/>
    <s v="Male"/>
    <n v="38"/>
    <n v="17026"/>
    <n v="11"/>
    <n v="3"/>
    <x v="0"/>
    <x v="1"/>
    <s v="Mona Ali"/>
    <n v="204312"/>
    <x v="0"/>
    <x v="0"/>
    <x v="2"/>
  </r>
  <r>
    <n v="120"/>
    <x v="198"/>
    <x v="2"/>
    <s v="Sales Executive"/>
    <s v="Male"/>
    <n v="23"/>
    <n v="16765"/>
    <n v="14"/>
    <n v="3"/>
    <x v="0"/>
    <x v="1"/>
    <s v="Sara Adel"/>
    <n v="201180"/>
    <x v="2"/>
    <x v="0"/>
    <x v="2"/>
  </r>
  <r>
    <n v="122"/>
    <x v="199"/>
    <x v="5"/>
    <s v="Software Engineer"/>
    <s v="Female"/>
    <n v="49"/>
    <n v="12471"/>
    <n v="10"/>
    <n v="3"/>
    <x v="1"/>
    <x v="0"/>
    <s v="Mona Ali"/>
    <n v="149652"/>
    <x v="1"/>
    <x v="0"/>
    <x v="2"/>
  </r>
  <r>
    <n v="124"/>
    <x v="200"/>
    <x v="1"/>
    <s v="Supply Chain Analyst"/>
    <s v="Female"/>
    <n v="22"/>
    <n v="17819"/>
    <n v="8"/>
    <n v="3"/>
    <x v="1"/>
    <x v="0"/>
    <s v="Khaled Samir"/>
    <n v="213828"/>
    <x v="2"/>
    <x v="0"/>
    <x v="2"/>
  </r>
  <r>
    <n v="136"/>
    <x v="201"/>
    <x v="0"/>
    <s v="Financial Analyst"/>
    <s v="Female"/>
    <n v="51"/>
    <n v="4966"/>
    <n v="10"/>
    <n v="3"/>
    <x v="1"/>
    <x v="1"/>
    <s v="Ahmed Hassan"/>
    <n v="59592"/>
    <x v="1"/>
    <x v="0"/>
    <x v="2"/>
  </r>
  <r>
    <n v="143"/>
    <x v="202"/>
    <x v="5"/>
    <s v="Data Analyst"/>
    <s v="Female"/>
    <n v="43"/>
    <n v="17122"/>
    <n v="12"/>
    <n v="3"/>
    <x v="0"/>
    <x v="2"/>
    <s v="Youssef Mahmoud"/>
    <n v="205464"/>
    <x v="0"/>
    <x v="0"/>
    <x v="2"/>
  </r>
  <r>
    <n v="152"/>
    <x v="203"/>
    <x v="0"/>
    <s v="Accountant"/>
    <s v="Female"/>
    <n v="45"/>
    <n v="14729"/>
    <n v="12"/>
    <n v="3"/>
    <x v="1"/>
    <x v="1"/>
    <s v="Youssef Mahmoud"/>
    <n v="176748"/>
    <x v="0"/>
    <x v="0"/>
    <x v="2"/>
  </r>
  <r>
    <n v="178"/>
    <x v="204"/>
    <x v="2"/>
    <s v="Sales Manager"/>
    <s v="Male"/>
    <n v="42"/>
    <n v="14590"/>
    <n v="9"/>
    <n v="3"/>
    <x v="1"/>
    <x v="0"/>
    <s v="Mona Ali"/>
    <n v="175080"/>
    <x v="0"/>
    <x v="0"/>
    <x v="2"/>
  </r>
  <r>
    <n v="194"/>
    <x v="205"/>
    <x v="3"/>
    <s v="HR Executive"/>
    <s v="Female"/>
    <n v="38"/>
    <n v="6717"/>
    <n v="12"/>
    <n v="3"/>
    <x v="0"/>
    <x v="1"/>
    <s v="Youssef Mahmoud"/>
    <n v="80604"/>
    <x v="0"/>
    <x v="0"/>
    <x v="2"/>
  </r>
  <r>
    <n v="196"/>
    <x v="206"/>
    <x v="5"/>
    <s v="Data Analyst"/>
    <s v="Female"/>
    <n v="37"/>
    <n v="10907"/>
    <n v="8"/>
    <n v="3"/>
    <x v="1"/>
    <x v="2"/>
    <s v="Youssef Mahmoud"/>
    <n v="130884"/>
    <x v="0"/>
    <x v="0"/>
    <x v="2"/>
  </r>
  <r>
    <n v="200"/>
    <x v="207"/>
    <x v="5"/>
    <s v="Data Analyst"/>
    <s v="Male"/>
    <n v="56"/>
    <n v="16313"/>
    <n v="12"/>
    <n v="3"/>
    <x v="1"/>
    <x v="0"/>
    <s v="Mona Ali"/>
    <n v="195756"/>
    <x v="1"/>
    <x v="0"/>
    <x v="2"/>
  </r>
  <r>
    <n v="204"/>
    <x v="208"/>
    <x v="4"/>
    <s v="Marketing Specialist"/>
    <s v="Male"/>
    <n v="59"/>
    <n v="17190"/>
    <n v="10"/>
    <n v="3"/>
    <x v="1"/>
    <x v="0"/>
    <s v="Sara Adel"/>
    <n v="206280"/>
    <x v="1"/>
    <x v="0"/>
    <x v="2"/>
  </r>
  <r>
    <n v="215"/>
    <x v="209"/>
    <x v="0"/>
    <s v="Financial Analyst"/>
    <s v="Male"/>
    <n v="35"/>
    <n v="19631"/>
    <n v="11"/>
    <n v="3"/>
    <x v="0"/>
    <x v="1"/>
    <s v="Khaled Samir"/>
    <n v="235572"/>
    <x v="0"/>
    <x v="0"/>
    <x v="2"/>
  </r>
  <r>
    <n v="242"/>
    <x v="210"/>
    <x v="5"/>
    <s v="Data Analyst"/>
    <s v="Male"/>
    <n v="39"/>
    <n v="4150"/>
    <n v="13"/>
    <n v="3"/>
    <x v="0"/>
    <x v="0"/>
    <s v="Ahmed Hassan"/>
    <n v="49800"/>
    <x v="0"/>
    <x v="0"/>
    <x v="2"/>
  </r>
  <r>
    <n v="243"/>
    <x v="211"/>
    <x v="5"/>
    <s v="IT Support"/>
    <s v="Female"/>
    <n v="44"/>
    <n v="19019"/>
    <n v="11"/>
    <n v="3"/>
    <x v="0"/>
    <x v="0"/>
    <s v="Sara Adel"/>
    <n v="228228"/>
    <x v="0"/>
    <x v="0"/>
    <x v="2"/>
  </r>
  <r>
    <n v="244"/>
    <x v="212"/>
    <x v="4"/>
    <s v="Content Creator"/>
    <s v="Male"/>
    <n v="44"/>
    <n v="6943"/>
    <n v="15"/>
    <n v="3"/>
    <x v="0"/>
    <x v="0"/>
    <s v="Youssef Mahmoud"/>
    <n v="83316"/>
    <x v="0"/>
    <x v="0"/>
    <x v="2"/>
  </r>
  <r>
    <n v="248"/>
    <x v="213"/>
    <x v="5"/>
    <s v="Software Engineer"/>
    <s v="Male"/>
    <n v="38"/>
    <n v="6074"/>
    <n v="10"/>
    <n v="3"/>
    <x v="0"/>
    <x v="2"/>
    <s v="Youssef Mahmoud"/>
    <n v="72888"/>
    <x v="0"/>
    <x v="0"/>
    <x v="2"/>
  </r>
  <r>
    <n v="257"/>
    <x v="214"/>
    <x v="2"/>
    <s v="Sales Executive"/>
    <s v="Female"/>
    <n v="31"/>
    <n v="11061"/>
    <n v="8"/>
    <n v="3"/>
    <x v="1"/>
    <x v="1"/>
    <s v="Mona Ali"/>
    <n v="132732"/>
    <x v="0"/>
    <x v="0"/>
    <x v="2"/>
  </r>
  <r>
    <n v="279"/>
    <x v="215"/>
    <x v="1"/>
    <s v="Operations Officer"/>
    <s v="Male"/>
    <n v="46"/>
    <n v="18462"/>
    <n v="12"/>
    <n v="3"/>
    <x v="1"/>
    <x v="1"/>
    <s v="Ahmed Hassan"/>
    <n v="221544"/>
    <x v="1"/>
    <x v="0"/>
    <x v="2"/>
  </r>
  <r>
    <n v="294"/>
    <x v="216"/>
    <x v="3"/>
    <s v="Recruiter"/>
    <s v="Male"/>
    <n v="31"/>
    <n v="8868"/>
    <n v="8"/>
    <n v="3"/>
    <x v="0"/>
    <x v="2"/>
    <s v="Mona Ali"/>
    <n v="106416"/>
    <x v="0"/>
    <x v="0"/>
    <x v="2"/>
  </r>
  <r>
    <n v="309"/>
    <x v="217"/>
    <x v="0"/>
    <s v="Financial Analyst"/>
    <s v="Female"/>
    <n v="59"/>
    <n v="11547"/>
    <n v="8"/>
    <n v="3"/>
    <x v="1"/>
    <x v="2"/>
    <s v="Mona Ali"/>
    <n v="138564"/>
    <x v="1"/>
    <x v="0"/>
    <x v="2"/>
  </r>
  <r>
    <n v="336"/>
    <x v="218"/>
    <x v="0"/>
    <s v="Accountant"/>
    <s v="Female"/>
    <n v="22"/>
    <n v="18859"/>
    <n v="9"/>
    <n v="3"/>
    <x v="1"/>
    <x v="0"/>
    <s v="Ahmed Hassan"/>
    <n v="226308"/>
    <x v="2"/>
    <x v="0"/>
    <x v="2"/>
  </r>
  <r>
    <n v="339"/>
    <x v="219"/>
    <x v="0"/>
    <s v="Accountant"/>
    <s v="Male"/>
    <n v="38"/>
    <n v="19094"/>
    <n v="12"/>
    <n v="3"/>
    <x v="1"/>
    <x v="2"/>
    <s v="Ahmed Hassan"/>
    <n v="229128"/>
    <x v="0"/>
    <x v="0"/>
    <x v="2"/>
  </r>
  <r>
    <n v="347"/>
    <x v="220"/>
    <x v="0"/>
    <s v="Financial Analyst"/>
    <s v="Male"/>
    <n v="24"/>
    <n v="16436"/>
    <n v="15"/>
    <n v="3"/>
    <x v="1"/>
    <x v="0"/>
    <s v="Khaled Samir"/>
    <n v="197232"/>
    <x v="2"/>
    <x v="0"/>
    <x v="2"/>
  </r>
  <r>
    <n v="392"/>
    <x v="221"/>
    <x v="1"/>
    <s v="Operations Officer"/>
    <s v="Female"/>
    <n v="37"/>
    <n v="17397"/>
    <n v="12"/>
    <n v="3"/>
    <x v="1"/>
    <x v="2"/>
    <s v="Khaled Samir"/>
    <n v="208764"/>
    <x v="0"/>
    <x v="0"/>
    <x v="2"/>
  </r>
  <r>
    <n v="426"/>
    <x v="222"/>
    <x v="5"/>
    <s v="Data Analyst"/>
    <s v="Female"/>
    <n v="56"/>
    <n v="8828"/>
    <n v="12"/>
    <n v="3"/>
    <x v="0"/>
    <x v="0"/>
    <s v="Ahmed Hassan"/>
    <n v="105936"/>
    <x v="1"/>
    <x v="0"/>
    <x v="2"/>
  </r>
  <r>
    <n v="452"/>
    <x v="223"/>
    <x v="4"/>
    <s v="Marketing Specialist"/>
    <s v="Female"/>
    <n v="39"/>
    <n v="19926"/>
    <n v="12"/>
    <n v="3"/>
    <x v="0"/>
    <x v="0"/>
    <s v="Khaled Samir"/>
    <n v="239112"/>
    <x v="0"/>
    <x v="0"/>
    <x v="2"/>
  </r>
  <r>
    <n v="493"/>
    <x v="224"/>
    <x v="2"/>
    <s v="Sales Manager"/>
    <s v="Female"/>
    <n v="51"/>
    <n v="8623"/>
    <n v="8"/>
    <n v="3"/>
    <x v="1"/>
    <x v="0"/>
    <s v="Ahmed Hassan"/>
    <n v="103476"/>
    <x v="1"/>
    <x v="0"/>
    <x v="2"/>
  </r>
  <r>
    <n v="495"/>
    <x v="225"/>
    <x v="2"/>
    <s v="Sales Executive"/>
    <s v="Male"/>
    <n v="31"/>
    <n v="12263"/>
    <n v="8"/>
    <n v="3"/>
    <x v="1"/>
    <x v="0"/>
    <s v="Ahmed Hassan"/>
    <n v="147156"/>
    <x v="0"/>
    <x v="0"/>
    <x v="2"/>
  </r>
  <r>
    <n v="1"/>
    <x v="226"/>
    <x v="2"/>
    <s v="Sales Executive"/>
    <s v="Male"/>
    <n v="22"/>
    <n v="16057"/>
    <n v="7"/>
    <n v="1"/>
    <x v="1"/>
    <x v="0"/>
    <s v="Khaled Samir"/>
    <n v="192684"/>
    <x v="2"/>
    <x v="1"/>
    <x v="0"/>
  </r>
  <r>
    <n v="3"/>
    <x v="227"/>
    <x v="1"/>
    <s v="Operations Officer"/>
    <s v="Female"/>
    <n v="23"/>
    <n v="8731"/>
    <n v="4"/>
    <n v="4"/>
    <x v="1"/>
    <x v="0"/>
    <s v="Sara Adel"/>
    <n v="104772"/>
    <x v="2"/>
    <x v="1"/>
    <x v="1"/>
  </r>
  <r>
    <n v="4"/>
    <x v="228"/>
    <x v="0"/>
    <s v="Accountant"/>
    <s v="Female"/>
    <n v="26"/>
    <n v="11380"/>
    <n v="5"/>
    <n v="2"/>
    <x v="1"/>
    <x v="1"/>
    <s v="Khaled Samir"/>
    <n v="136560"/>
    <x v="2"/>
    <x v="1"/>
    <x v="0"/>
  </r>
  <r>
    <n v="6"/>
    <x v="229"/>
    <x v="3"/>
    <s v="HR Executive"/>
    <s v="Female"/>
    <n v="54"/>
    <n v="12162"/>
    <n v="4"/>
    <n v="1"/>
    <x v="0"/>
    <x v="2"/>
    <s v="Khaled Samir"/>
    <n v="145944"/>
    <x v="1"/>
    <x v="1"/>
    <x v="0"/>
  </r>
  <r>
    <n v="13"/>
    <x v="230"/>
    <x v="0"/>
    <s v="Accountant"/>
    <s v="Male"/>
    <n v="42"/>
    <n v="12305"/>
    <n v="3"/>
    <n v="4"/>
    <x v="1"/>
    <x v="2"/>
    <s v="Sara Adel"/>
    <n v="147660"/>
    <x v="0"/>
    <x v="1"/>
    <x v="1"/>
  </r>
  <r>
    <n v="18"/>
    <x v="231"/>
    <x v="3"/>
    <s v="Recruiter"/>
    <s v="Female"/>
    <n v="37"/>
    <n v="12562"/>
    <n v="5"/>
    <n v="4"/>
    <x v="0"/>
    <x v="0"/>
    <s v="Youssef Mahmoud"/>
    <n v="150744"/>
    <x v="0"/>
    <x v="1"/>
    <x v="1"/>
  </r>
  <r>
    <n v="20"/>
    <x v="232"/>
    <x v="0"/>
    <s v="Financial Analyst"/>
    <s v="Male"/>
    <n v="41"/>
    <n v="9797"/>
    <n v="3"/>
    <n v="4"/>
    <x v="1"/>
    <x v="0"/>
    <s v="Youssef Mahmoud"/>
    <n v="117564"/>
    <x v="0"/>
    <x v="1"/>
    <x v="1"/>
  </r>
  <r>
    <n v="22"/>
    <x v="233"/>
    <x v="0"/>
    <s v="Financial Analyst"/>
    <s v="Female"/>
    <n v="44"/>
    <n v="9208"/>
    <n v="5"/>
    <n v="5"/>
    <x v="0"/>
    <x v="0"/>
    <s v="Mona Ali"/>
    <n v="110496"/>
    <x v="0"/>
    <x v="1"/>
    <x v="1"/>
  </r>
  <r>
    <n v="27"/>
    <x v="234"/>
    <x v="1"/>
    <s v="Operations Officer"/>
    <s v="Female"/>
    <n v="36"/>
    <n v="10809"/>
    <n v="4"/>
    <n v="4"/>
    <x v="0"/>
    <x v="0"/>
    <s v="Youssef Mahmoud"/>
    <n v="129708"/>
    <x v="0"/>
    <x v="1"/>
    <x v="1"/>
  </r>
  <r>
    <n v="31"/>
    <x v="235"/>
    <x v="4"/>
    <s v="Marketing Specialist"/>
    <s v="Male"/>
    <n v="37"/>
    <n v="13888"/>
    <n v="7"/>
    <n v="3"/>
    <x v="0"/>
    <x v="2"/>
    <s v="Youssef Mahmoud"/>
    <n v="166656"/>
    <x v="0"/>
    <x v="1"/>
    <x v="2"/>
  </r>
  <r>
    <n v="34"/>
    <x v="236"/>
    <x v="5"/>
    <s v="IT Support"/>
    <s v="Male"/>
    <n v="46"/>
    <n v="17399"/>
    <n v="6"/>
    <n v="5"/>
    <x v="1"/>
    <x v="0"/>
    <s v="Sara Adel"/>
    <n v="208788"/>
    <x v="1"/>
    <x v="1"/>
    <x v="1"/>
  </r>
  <r>
    <n v="35"/>
    <x v="237"/>
    <x v="0"/>
    <s v="Financial Analyst"/>
    <s v="Female"/>
    <n v="26"/>
    <n v="13262"/>
    <n v="3"/>
    <n v="4"/>
    <x v="0"/>
    <x v="2"/>
    <s v="Khaled Samir"/>
    <n v="159144"/>
    <x v="2"/>
    <x v="1"/>
    <x v="1"/>
  </r>
  <r>
    <n v="39"/>
    <x v="238"/>
    <x v="3"/>
    <s v="HR Executive"/>
    <s v="Female"/>
    <n v="37"/>
    <n v="8738"/>
    <n v="4"/>
    <n v="5"/>
    <x v="0"/>
    <x v="1"/>
    <s v="Mona Ali"/>
    <n v="104856"/>
    <x v="0"/>
    <x v="1"/>
    <x v="1"/>
  </r>
  <r>
    <n v="40"/>
    <x v="239"/>
    <x v="5"/>
    <s v="Software Engineer"/>
    <s v="Male"/>
    <n v="58"/>
    <n v="5742"/>
    <n v="6"/>
    <n v="5"/>
    <x v="1"/>
    <x v="0"/>
    <s v="Khaled Samir"/>
    <n v="68904"/>
    <x v="1"/>
    <x v="1"/>
    <x v="1"/>
  </r>
  <r>
    <n v="41"/>
    <x v="240"/>
    <x v="4"/>
    <s v="Marketing Specialist"/>
    <s v="Male"/>
    <n v="27"/>
    <n v="15101"/>
    <n v="5"/>
    <n v="2"/>
    <x v="0"/>
    <x v="1"/>
    <s v="Mona Ali"/>
    <n v="181212"/>
    <x v="2"/>
    <x v="1"/>
    <x v="0"/>
  </r>
  <r>
    <n v="47"/>
    <x v="241"/>
    <x v="5"/>
    <s v="Data Analyst"/>
    <s v="Male"/>
    <n v="23"/>
    <n v="16048"/>
    <n v="6"/>
    <n v="4"/>
    <x v="1"/>
    <x v="0"/>
    <s v="Ahmed Hassan"/>
    <n v="192576"/>
    <x v="2"/>
    <x v="1"/>
    <x v="1"/>
  </r>
  <r>
    <n v="48"/>
    <x v="242"/>
    <x v="2"/>
    <s v="Sales Executive"/>
    <s v="Male"/>
    <n v="50"/>
    <n v="12469"/>
    <n v="4"/>
    <n v="3"/>
    <x v="0"/>
    <x v="1"/>
    <s v="Ahmed Hassan"/>
    <n v="149628"/>
    <x v="1"/>
    <x v="1"/>
    <x v="2"/>
  </r>
  <r>
    <n v="51"/>
    <x v="243"/>
    <x v="2"/>
    <s v="Sales Executive"/>
    <s v="Female"/>
    <n v="28"/>
    <n v="19918"/>
    <n v="3"/>
    <n v="1"/>
    <x v="0"/>
    <x v="1"/>
    <s v="Ahmed Hassan"/>
    <n v="239016"/>
    <x v="2"/>
    <x v="1"/>
    <x v="0"/>
  </r>
  <r>
    <n v="53"/>
    <x v="244"/>
    <x v="5"/>
    <s v="IT Support"/>
    <s v="Female"/>
    <n v="45"/>
    <n v="12063"/>
    <n v="7"/>
    <n v="1"/>
    <x v="0"/>
    <x v="1"/>
    <s v="Youssef Mahmoud"/>
    <n v="144756"/>
    <x v="0"/>
    <x v="1"/>
    <x v="0"/>
  </r>
  <r>
    <n v="54"/>
    <x v="245"/>
    <x v="5"/>
    <s v="Data Analyst"/>
    <s v="Male"/>
    <n v="26"/>
    <n v="16096"/>
    <n v="4"/>
    <n v="2"/>
    <x v="1"/>
    <x v="2"/>
    <s v="Sara Adel"/>
    <n v="193152"/>
    <x v="2"/>
    <x v="1"/>
    <x v="0"/>
  </r>
  <r>
    <n v="57"/>
    <x v="246"/>
    <x v="0"/>
    <s v="Accountant"/>
    <s v="Male"/>
    <n v="25"/>
    <n v="6016"/>
    <n v="7"/>
    <n v="3"/>
    <x v="1"/>
    <x v="0"/>
    <s v="Sara Adel"/>
    <n v="72192"/>
    <x v="2"/>
    <x v="1"/>
    <x v="2"/>
  </r>
  <r>
    <n v="60"/>
    <x v="247"/>
    <x v="4"/>
    <s v="Content Creator"/>
    <s v="Male"/>
    <n v="55"/>
    <n v="5291"/>
    <n v="4"/>
    <n v="5"/>
    <x v="1"/>
    <x v="0"/>
    <s v="Mona Ali"/>
    <n v="63492"/>
    <x v="1"/>
    <x v="1"/>
    <x v="1"/>
  </r>
  <r>
    <n v="61"/>
    <x v="248"/>
    <x v="0"/>
    <s v="Accountant"/>
    <s v="Female"/>
    <n v="25"/>
    <n v="18870"/>
    <n v="4"/>
    <n v="3"/>
    <x v="1"/>
    <x v="2"/>
    <s v="Khaled Samir"/>
    <n v="226440"/>
    <x v="2"/>
    <x v="1"/>
    <x v="2"/>
  </r>
  <r>
    <n v="63"/>
    <x v="249"/>
    <x v="5"/>
    <s v="Software Engineer"/>
    <s v="Male"/>
    <n v="34"/>
    <n v="18683"/>
    <n v="6"/>
    <n v="5"/>
    <x v="1"/>
    <x v="1"/>
    <s v="Khaled Samir"/>
    <n v="224196"/>
    <x v="0"/>
    <x v="1"/>
    <x v="1"/>
  </r>
  <r>
    <n v="64"/>
    <x v="250"/>
    <x v="3"/>
    <s v="HR Executive"/>
    <s v="Female"/>
    <n v="37"/>
    <n v="16402"/>
    <n v="5"/>
    <n v="4"/>
    <x v="0"/>
    <x v="1"/>
    <s v="Khaled Samir"/>
    <n v="196824"/>
    <x v="0"/>
    <x v="1"/>
    <x v="1"/>
  </r>
  <r>
    <n v="67"/>
    <x v="251"/>
    <x v="2"/>
    <s v="Sales Manager"/>
    <s v="Female"/>
    <n v="32"/>
    <n v="10689"/>
    <n v="3"/>
    <n v="2"/>
    <x v="1"/>
    <x v="2"/>
    <s v="Sara Adel"/>
    <n v="128268"/>
    <x v="0"/>
    <x v="1"/>
    <x v="0"/>
  </r>
  <r>
    <n v="69"/>
    <x v="252"/>
    <x v="4"/>
    <s v="Content Creator"/>
    <s v="Male"/>
    <n v="47"/>
    <n v="6396"/>
    <n v="3"/>
    <n v="4"/>
    <x v="1"/>
    <x v="0"/>
    <s v="Khaled Samir"/>
    <n v="76752"/>
    <x v="1"/>
    <x v="1"/>
    <x v="1"/>
  </r>
  <r>
    <n v="70"/>
    <x v="253"/>
    <x v="4"/>
    <s v="Marketing Specialist"/>
    <s v="Male"/>
    <n v="33"/>
    <n v="7268"/>
    <n v="5"/>
    <n v="1"/>
    <x v="1"/>
    <x v="2"/>
    <s v="Youssef Mahmoud"/>
    <n v="87216"/>
    <x v="0"/>
    <x v="1"/>
    <x v="0"/>
  </r>
  <r>
    <n v="75"/>
    <x v="254"/>
    <x v="3"/>
    <s v="Recruiter"/>
    <s v="Female"/>
    <n v="47"/>
    <n v="5086"/>
    <n v="5"/>
    <n v="2"/>
    <x v="0"/>
    <x v="1"/>
    <s v="Mona Ali"/>
    <n v="61032"/>
    <x v="1"/>
    <x v="1"/>
    <x v="0"/>
  </r>
  <r>
    <n v="78"/>
    <x v="255"/>
    <x v="1"/>
    <s v="Operations Officer"/>
    <s v="Female"/>
    <n v="23"/>
    <n v="16916"/>
    <n v="6"/>
    <n v="2"/>
    <x v="0"/>
    <x v="1"/>
    <s v="Ahmed Hassan"/>
    <n v="202992"/>
    <x v="2"/>
    <x v="1"/>
    <x v="0"/>
  </r>
  <r>
    <n v="79"/>
    <x v="256"/>
    <x v="3"/>
    <s v="Recruiter"/>
    <s v="Female"/>
    <n v="46"/>
    <n v="13953"/>
    <n v="7"/>
    <n v="4"/>
    <x v="1"/>
    <x v="2"/>
    <s v="Khaled Samir"/>
    <n v="167436"/>
    <x v="1"/>
    <x v="1"/>
    <x v="1"/>
  </r>
  <r>
    <n v="80"/>
    <x v="257"/>
    <x v="5"/>
    <s v="Software Engineer"/>
    <s v="Female"/>
    <n v="36"/>
    <n v="17768"/>
    <n v="6"/>
    <n v="2"/>
    <x v="1"/>
    <x v="1"/>
    <s v="Ahmed Hassan"/>
    <n v="213216"/>
    <x v="0"/>
    <x v="1"/>
    <x v="0"/>
  </r>
  <r>
    <n v="86"/>
    <x v="258"/>
    <x v="4"/>
    <s v="Content Creator"/>
    <s v="Female"/>
    <n v="49"/>
    <n v="17447"/>
    <n v="6"/>
    <n v="1"/>
    <x v="1"/>
    <x v="0"/>
    <s v="Ahmed Hassan"/>
    <n v="209364"/>
    <x v="1"/>
    <x v="1"/>
    <x v="0"/>
  </r>
  <r>
    <n v="89"/>
    <x v="259"/>
    <x v="0"/>
    <s v="Financial Analyst"/>
    <s v="Male"/>
    <n v="44"/>
    <n v="8106"/>
    <n v="7"/>
    <n v="3"/>
    <x v="1"/>
    <x v="2"/>
    <s v="Ahmed Hassan"/>
    <n v="97272"/>
    <x v="0"/>
    <x v="1"/>
    <x v="2"/>
  </r>
  <r>
    <n v="90"/>
    <x v="260"/>
    <x v="5"/>
    <s v="Software Engineer"/>
    <s v="Female"/>
    <n v="43"/>
    <n v="14979"/>
    <n v="7"/>
    <n v="1"/>
    <x v="1"/>
    <x v="0"/>
    <s v="Mona Ali"/>
    <n v="179748"/>
    <x v="0"/>
    <x v="1"/>
    <x v="0"/>
  </r>
  <r>
    <n v="91"/>
    <x v="261"/>
    <x v="1"/>
    <s v="Supply Chain Analyst"/>
    <s v="Male"/>
    <n v="35"/>
    <n v="11823"/>
    <n v="7"/>
    <n v="5"/>
    <x v="0"/>
    <x v="1"/>
    <s v="Youssef Mahmoud"/>
    <n v="141876"/>
    <x v="0"/>
    <x v="1"/>
    <x v="1"/>
  </r>
  <r>
    <n v="94"/>
    <x v="262"/>
    <x v="0"/>
    <s v="Financial Analyst"/>
    <s v="Male"/>
    <n v="60"/>
    <n v="12069"/>
    <n v="6"/>
    <n v="1"/>
    <x v="0"/>
    <x v="1"/>
    <s v="Sara Adel"/>
    <n v="144828"/>
    <x v="1"/>
    <x v="1"/>
    <x v="0"/>
  </r>
  <r>
    <n v="100"/>
    <x v="263"/>
    <x v="5"/>
    <s v="Data Analyst"/>
    <s v="Female"/>
    <n v="35"/>
    <n v="13671"/>
    <n v="7"/>
    <n v="2"/>
    <x v="0"/>
    <x v="1"/>
    <s v="Sara Adel"/>
    <n v="164052"/>
    <x v="0"/>
    <x v="1"/>
    <x v="0"/>
  </r>
  <r>
    <n v="101"/>
    <x v="264"/>
    <x v="0"/>
    <s v="Accountant"/>
    <s v="Female"/>
    <n v="50"/>
    <n v="4165"/>
    <n v="4"/>
    <n v="4"/>
    <x v="0"/>
    <x v="2"/>
    <s v="Sara Adel"/>
    <n v="49980"/>
    <x v="1"/>
    <x v="1"/>
    <x v="1"/>
  </r>
  <r>
    <n v="104"/>
    <x v="265"/>
    <x v="5"/>
    <s v="Software Engineer"/>
    <s v="Male"/>
    <n v="48"/>
    <n v="4013"/>
    <n v="6"/>
    <n v="2"/>
    <x v="0"/>
    <x v="2"/>
    <s v="Sara Adel"/>
    <n v="48156"/>
    <x v="1"/>
    <x v="1"/>
    <x v="0"/>
  </r>
  <r>
    <n v="106"/>
    <x v="266"/>
    <x v="0"/>
    <s v="Financial Analyst"/>
    <s v="Female"/>
    <n v="47"/>
    <n v="5436"/>
    <n v="4"/>
    <n v="4"/>
    <x v="1"/>
    <x v="2"/>
    <s v="Mona Ali"/>
    <n v="65232"/>
    <x v="1"/>
    <x v="1"/>
    <x v="1"/>
  </r>
  <r>
    <n v="107"/>
    <x v="267"/>
    <x v="0"/>
    <s v="Financial Analyst"/>
    <s v="Male"/>
    <n v="23"/>
    <n v="4463"/>
    <n v="7"/>
    <n v="2"/>
    <x v="0"/>
    <x v="2"/>
    <s v="Youssef Mahmoud"/>
    <n v="53556"/>
    <x v="2"/>
    <x v="1"/>
    <x v="0"/>
  </r>
  <r>
    <n v="115"/>
    <x v="268"/>
    <x v="0"/>
    <s v="Financial Analyst"/>
    <s v="Female"/>
    <n v="23"/>
    <n v="4421"/>
    <n v="4"/>
    <n v="3"/>
    <x v="1"/>
    <x v="1"/>
    <s v="Youssef Mahmoud"/>
    <n v="53052"/>
    <x v="2"/>
    <x v="1"/>
    <x v="2"/>
  </r>
  <r>
    <n v="116"/>
    <x v="269"/>
    <x v="2"/>
    <s v="Sales Executive"/>
    <s v="Male"/>
    <n v="43"/>
    <n v="9502"/>
    <n v="7"/>
    <n v="1"/>
    <x v="1"/>
    <x v="0"/>
    <s v="Ahmed Hassan"/>
    <n v="114024"/>
    <x v="0"/>
    <x v="1"/>
    <x v="0"/>
  </r>
  <r>
    <n v="119"/>
    <x v="270"/>
    <x v="5"/>
    <s v="Software Engineer"/>
    <s v="Female"/>
    <n v="50"/>
    <n v="10952"/>
    <n v="6"/>
    <n v="5"/>
    <x v="0"/>
    <x v="2"/>
    <s v="Youssef Mahmoud"/>
    <n v="131424"/>
    <x v="1"/>
    <x v="1"/>
    <x v="1"/>
  </r>
  <r>
    <n v="125"/>
    <x v="271"/>
    <x v="1"/>
    <s v="Operations Officer"/>
    <s v="Female"/>
    <n v="30"/>
    <n v="11987"/>
    <n v="5"/>
    <n v="2"/>
    <x v="0"/>
    <x v="2"/>
    <s v="Youssef Mahmoud"/>
    <n v="143844"/>
    <x v="0"/>
    <x v="1"/>
    <x v="0"/>
  </r>
  <r>
    <n v="128"/>
    <x v="272"/>
    <x v="4"/>
    <s v="Content Creator"/>
    <s v="Male"/>
    <n v="25"/>
    <n v="7068"/>
    <n v="3"/>
    <n v="1"/>
    <x v="0"/>
    <x v="1"/>
    <s v="Khaled Samir"/>
    <n v="84816"/>
    <x v="2"/>
    <x v="1"/>
    <x v="0"/>
  </r>
  <r>
    <n v="134"/>
    <x v="273"/>
    <x v="1"/>
    <s v="Supply Chain Analyst"/>
    <s v="Female"/>
    <n v="53"/>
    <n v="9130"/>
    <n v="7"/>
    <n v="5"/>
    <x v="0"/>
    <x v="1"/>
    <s v="Mona Ali"/>
    <n v="109560"/>
    <x v="1"/>
    <x v="1"/>
    <x v="1"/>
  </r>
  <r>
    <n v="137"/>
    <x v="274"/>
    <x v="0"/>
    <s v="Financial Analyst"/>
    <s v="Male"/>
    <n v="41"/>
    <n v="7084"/>
    <n v="5"/>
    <n v="1"/>
    <x v="0"/>
    <x v="0"/>
    <s v="Mona Ali"/>
    <n v="85008"/>
    <x v="0"/>
    <x v="1"/>
    <x v="0"/>
  </r>
  <r>
    <n v="145"/>
    <x v="275"/>
    <x v="3"/>
    <s v="Recruiter"/>
    <s v="Male"/>
    <n v="48"/>
    <n v="14050"/>
    <n v="7"/>
    <n v="1"/>
    <x v="0"/>
    <x v="0"/>
    <s v="Ahmed Hassan"/>
    <n v="168600"/>
    <x v="1"/>
    <x v="1"/>
    <x v="0"/>
  </r>
  <r>
    <n v="147"/>
    <x v="276"/>
    <x v="1"/>
    <s v="Supply Chain Analyst"/>
    <s v="Male"/>
    <n v="24"/>
    <n v="9169"/>
    <n v="6"/>
    <n v="2"/>
    <x v="0"/>
    <x v="0"/>
    <s v="Ahmed Hassan"/>
    <n v="110028"/>
    <x v="2"/>
    <x v="1"/>
    <x v="0"/>
  </r>
  <r>
    <n v="150"/>
    <x v="277"/>
    <x v="3"/>
    <s v="Recruiter"/>
    <s v="Female"/>
    <n v="56"/>
    <n v="8940"/>
    <n v="4"/>
    <n v="3"/>
    <x v="1"/>
    <x v="2"/>
    <s v="Khaled Samir"/>
    <n v="107280"/>
    <x v="1"/>
    <x v="1"/>
    <x v="2"/>
  </r>
  <r>
    <n v="151"/>
    <x v="278"/>
    <x v="5"/>
    <s v="Software Engineer"/>
    <s v="Female"/>
    <n v="38"/>
    <n v="18786"/>
    <n v="6"/>
    <n v="5"/>
    <x v="0"/>
    <x v="2"/>
    <s v="Sara Adel"/>
    <n v="225432"/>
    <x v="0"/>
    <x v="1"/>
    <x v="1"/>
  </r>
  <r>
    <n v="153"/>
    <x v="279"/>
    <x v="5"/>
    <s v="Software Engineer"/>
    <s v="Female"/>
    <n v="40"/>
    <n v="6468"/>
    <n v="4"/>
    <n v="1"/>
    <x v="0"/>
    <x v="1"/>
    <s v="Sara Adel"/>
    <n v="77616"/>
    <x v="0"/>
    <x v="1"/>
    <x v="0"/>
  </r>
  <r>
    <n v="155"/>
    <x v="280"/>
    <x v="2"/>
    <s v="Sales Manager"/>
    <s v="Female"/>
    <n v="26"/>
    <n v="7287"/>
    <n v="4"/>
    <n v="5"/>
    <x v="1"/>
    <x v="0"/>
    <s v="Youssef Mahmoud"/>
    <n v="87444"/>
    <x v="2"/>
    <x v="1"/>
    <x v="1"/>
  </r>
  <r>
    <n v="157"/>
    <x v="281"/>
    <x v="1"/>
    <s v="Supply Chain Analyst"/>
    <s v="Female"/>
    <n v="46"/>
    <n v="17248"/>
    <n v="7"/>
    <n v="2"/>
    <x v="0"/>
    <x v="1"/>
    <s v="Mona Ali"/>
    <n v="206976"/>
    <x v="1"/>
    <x v="1"/>
    <x v="0"/>
  </r>
  <r>
    <n v="158"/>
    <x v="282"/>
    <x v="5"/>
    <s v="Data Analyst"/>
    <s v="Female"/>
    <n v="43"/>
    <n v="17261"/>
    <n v="6"/>
    <n v="5"/>
    <x v="0"/>
    <x v="0"/>
    <s v="Ahmed Hassan"/>
    <n v="207132"/>
    <x v="0"/>
    <x v="1"/>
    <x v="1"/>
  </r>
  <r>
    <n v="160"/>
    <x v="283"/>
    <x v="0"/>
    <s v="Accountant"/>
    <s v="Female"/>
    <n v="53"/>
    <n v="16320"/>
    <n v="5"/>
    <n v="4"/>
    <x v="0"/>
    <x v="1"/>
    <s v="Mona Ali"/>
    <n v="195840"/>
    <x v="1"/>
    <x v="1"/>
    <x v="1"/>
  </r>
  <r>
    <n v="165"/>
    <x v="284"/>
    <x v="2"/>
    <s v="Sales Executive"/>
    <s v="Female"/>
    <n v="27"/>
    <n v="17844"/>
    <n v="5"/>
    <n v="1"/>
    <x v="0"/>
    <x v="2"/>
    <s v="Mona Ali"/>
    <n v="214128"/>
    <x v="2"/>
    <x v="1"/>
    <x v="0"/>
  </r>
  <r>
    <n v="168"/>
    <x v="285"/>
    <x v="4"/>
    <s v="Marketing Specialist"/>
    <s v="Male"/>
    <n v="28"/>
    <n v="10335"/>
    <n v="5"/>
    <n v="1"/>
    <x v="1"/>
    <x v="1"/>
    <s v="Khaled Samir"/>
    <n v="124020"/>
    <x v="2"/>
    <x v="1"/>
    <x v="0"/>
  </r>
  <r>
    <n v="171"/>
    <x v="286"/>
    <x v="3"/>
    <s v="Recruiter"/>
    <s v="Male"/>
    <n v="35"/>
    <n v="6585"/>
    <n v="6"/>
    <n v="1"/>
    <x v="1"/>
    <x v="2"/>
    <s v="Mona Ali"/>
    <n v="79020"/>
    <x v="0"/>
    <x v="1"/>
    <x v="0"/>
  </r>
  <r>
    <n v="173"/>
    <x v="287"/>
    <x v="4"/>
    <s v="Content Creator"/>
    <s v="Male"/>
    <n v="54"/>
    <n v="19206"/>
    <n v="4"/>
    <n v="4"/>
    <x v="1"/>
    <x v="1"/>
    <s v="Sara Adel"/>
    <n v="230472"/>
    <x v="1"/>
    <x v="1"/>
    <x v="1"/>
  </r>
  <r>
    <n v="174"/>
    <x v="288"/>
    <x v="4"/>
    <s v="Content Creator"/>
    <s v="Male"/>
    <n v="38"/>
    <n v="13334"/>
    <n v="4"/>
    <n v="3"/>
    <x v="0"/>
    <x v="2"/>
    <s v="Khaled Samir"/>
    <n v="160008"/>
    <x v="0"/>
    <x v="1"/>
    <x v="2"/>
  </r>
  <r>
    <n v="177"/>
    <x v="289"/>
    <x v="4"/>
    <s v="Content Creator"/>
    <s v="Female"/>
    <n v="35"/>
    <n v="16157"/>
    <n v="7"/>
    <n v="2"/>
    <x v="0"/>
    <x v="1"/>
    <s v="Khaled Samir"/>
    <n v="193884"/>
    <x v="0"/>
    <x v="1"/>
    <x v="0"/>
  </r>
  <r>
    <n v="184"/>
    <x v="290"/>
    <x v="1"/>
    <s v="Operations Officer"/>
    <s v="Male"/>
    <n v="23"/>
    <n v="8712"/>
    <n v="7"/>
    <n v="5"/>
    <x v="1"/>
    <x v="2"/>
    <s v="Mona Ali"/>
    <n v="104544"/>
    <x v="2"/>
    <x v="1"/>
    <x v="1"/>
  </r>
  <r>
    <n v="185"/>
    <x v="291"/>
    <x v="2"/>
    <s v="Sales Executive"/>
    <s v="Female"/>
    <n v="48"/>
    <n v="4601"/>
    <n v="3"/>
    <n v="3"/>
    <x v="1"/>
    <x v="0"/>
    <s v="Sara Adel"/>
    <n v="55212"/>
    <x v="1"/>
    <x v="1"/>
    <x v="2"/>
  </r>
  <r>
    <n v="186"/>
    <x v="292"/>
    <x v="0"/>
    <s v="Financial Analyst"/>
    <s v="Female"/>
    <n v="47"/>
    <n v="15035"/>
    <n v="3"/>
    <n v="2"/>
    <x v="1"/>
    <x v="0"/>
    <s v="Youssef Mahmoud"/>
    <n v="180420"/>
    <x v="1"/>
    <x v="1"/>
    <x v="0"/>
  </r>
  <r>
    <n v="187"/>
    <x v="293"/>
    <x v="2"/>
    <s v="Sales Manager"/>
    <s v="Male"/>
    <n v="53"/>
    <n v="12715"/>
    <n v="4"/>
    <n v="5"/>
    <x v="1"/>
    <x v="1"/>
    <s v="Ahmed Hassan"/>
    <n v="152580"/>
    <x v="1"/>
    <x v="1"/>
    <x v="1"/>
  </r>
  <r>
    <n v="188"/>
    <x v="294"/>
    <x v="3"/>
    <s v="Recruiter"/>
    <s v="Female"/>
    <n v="43"/>
    <n v="13920"/>
    <n v="6"/>
    <n v="2"/>
    <x v="0"/>
    <x v="2"/>
    <s v="Sara Adel"/>
    <n v="167040"/>
    <x v="0"/>
    <x v="1"/>
    <x v="0"/>
  </r>
  <r>
    <n v="190"/>
    <x v="295"/>
    <x v="2"/>
    <s v="Sales Manager"/>
    <s v="Male"/>
    <n v="39"/>
    <n v="12697"/>
    <n v="5"/>
    <n v="2"/>
    <x v="1"/>
    <x v="0"/>
    <s v="Youssef Mahmoud"/>
    <n v="152364"/>
    <x v="0"/>
    <x v="1"/>
    <x v="0"/>
  </r>
  <r>
    <n v="191"/>
    <x v="296"/>
    <x v="3"/>
    <s v="Recruiter"/>
    <s v="Male"/>
    <n v="54"/>
    <n v="16006"/>
    <n v="4"/>
    <n v="3"/>
    <x v="0"/>
    <x v="2"/>
    <s v="Mona Ali"/>
    <n v="192072"/>
    <x v="1"/>
    <x v="1"/>
    <x v="2"/>
  </r>
  <r>
    <n v="193"/>
    <x v="297"/>
    <x v="3"/>
    <s v="HR Executive"/>
    <s v="Female"/>
    <n v="36"/>
    <n v="17042"/>
    <n v="3"/>
    <n v="1"/>
    <x v="1"/>
    <x v="2"/>
    <s v="Ahmed Hassan"/>
    <n v="204504"/>
    <x v="0"/>
    <x v="1"/>
    <x v="0"/>
  </r>
  <r>
    <n v="195"/>
    <x v="298"/>
    <x v="5"/>
    <s v="Data Analyst"/>
    <s v="Female"/>
    <n v="46"/>
    <n v="19076"/>
    <n v="6"/>
    <n v="2"/>
    <x v="0"/>
    <x v="2"/>
    <s v="Khaled Samir"/>
    <n v="228912"/>
    <x v="1"/>
    <x v="1"/>
    <x v="0"/>
  </r>
  <r>
    <n v="198"/>
    <x v="299"/>
    <x v="0"/>
    <s v="Financial Analyst"/>
    <s v="Male"/>
    <n v="34"/>
    <n v="19715"/>
    <n v="6"/>
    <n v="1"/>
    <x v="1"/>
    <x v="2"/>
    <s v="Mona Ali"/>
    <n v="236580"/>
    <x v="0"/>
    <x v="1"/>
    <x v="0"/>
  </r>
  <r>
    <n v="202"/>
    <x v="300"/>
    <x v="3"/>
    <s v="Recruiter"/>
    <s v="Female"/>
    <n v="23"/>
    <n v="8446"/>
    <n v="3"/>
    <n v="4"/>
    <x v="1"/>
    <x v="0"/>
    <s v="Khaled Samir"/>
    <n v="101352"/>
    <x v="2"/>
    <x v="1"/>
    <x v="1"/>
  </r>
  <r>
    <n v="206"/>
    <x v="301"/>
    <x v="1"/>
    <s v="Operations Officer"/>
    <s v="Male"/>
    <n v="55"/>
    <n v="14861"/>
    <n v="4"/>
    <n v="2"/>
    <x v="1"/>
    <x v="2"/>
    <s v="Ahmed Hassan"/>
    <n v="178332"/>
    <x v="1"/>
    <x v="1"/>
    <x v="0"/>
  </r>
  <r>
    <n v="210"/>
    <x v="302"/>
    <x v="5"/>
    <s v="Data Analyst"/>
    <s v="Male"/>
    <n v="53"/>
    <n v="13928"/>
    <n v="7"/>
    <n v="4"/>
    <x v="1"/>
    <x v="0"/>
    <s v="Youssef Mahmoud"/>
    <n v="167136"/>
    <x v="1"/>
    <x v="1"/>
    <x v="1"/>
  </r>
  <r>
    <n v="216"/>
    <x v="303"/>
    <x v="4"/>
    <s v="Marketing Specialist"/>
    <s v="Male"/>
    <n v="26"/>
    <n v="12713"/>
    <n v="3"/>
    <n v="1"/>
    <x v="0"/>
    <x v="2"/>
    <s v="Sara Adel"/>
    <n v="152556"/>
    <x v="2"/>
    <x v="1"/>
    <x v="0"/>
  </r>
  <r>
    <n v="218"/>
    <x v="304"/>
    <x v="3"/>
    <s v="HR Executive"/>
    <s v="Female"/>
    <n v="22"/>
    <n v="10212"/>
    <n v="7"/>
    <n v="1"/>
    <x v="0"/>
    <x v="1"/>
    <s v="Ahmed Hassan"/>
    <n v="122544"/>
    <x v="2"/>
    <x v="1"/>
    <x v="0"/>
  </r>
  <r>
    <n v="225"/>
    <x v="305"/>
    <x v="0"/>
    <s v="Financial Analyst"/>
    <s v="Female"/>
    <n v="52"/>
    <n v="9294"/>
    <n v="3"/>
    <n v="3"/>
    <x v="0"/>
    <x v="2"/>
    <s v="Mona Ali"/>
    <n v="111528"/>
    <x v="1"/>
    <x v="1"/>
    <x v="2"/>
  </r>
  <r>
    <n v="226"/>
    <x v="306"/>
    <x v="1"/>
    <s v="Operations Officer"/>
    <s v="Male"/>
    <n v="39"/>
    <n v="18679"/>
    <n v="6"/>
    <n v="1"/>
    <x v="1"/>
    <x v="1"/>
    <s v="Mona Ali"/>
    <n v="224148"/>
    <x v="0"/>
    <x v="1"/>
    <x v="0"/>
  </r>
  <r>
    <n v="230"/>
    <x v="307"/>
    <x v="3"/>
    <s v="Recruiter"/>
    <s v="Male"/>
    <n v="24"/>
    <n v="4536"/>
    <n v="3"/>
    <n v="5"/>
    <x v="0"/>
    <x v="2"/>
    <s v="Mona Ali"/>
    <n v="54432"/>
    <x v="2"/>
    <x v="1"/>
    <x v="1"/>
  </r>
  <r>
    <n v="231"/>
    <x v="308"/>
    <x v="3"/>
    <s v="Recruiter"/>
    <s v="Male"/>
    <n v="25"/>
    <n v="4375"/>
    <n v="6"/>
    <n v="5"/>
    <x v="1"/>
    <x v="2"/>
    <s v="Mona Ali"/>
    <n v="52500"/>
    <x v="2"/>
    <x v="1"/>
    <x v="1"/>
  </r>
  <r>
    <n v="237"/>
    <x v="309"/>
    <x v="2"/>
    <s v="Sales Executive"/>
    <s v="Female"/>
    <n v="33"/>
    <n v="15143"/>
    <n v="4"/>
    <n v="2"/>
    <x v="0"/>
    <x v="2"/>
    <s v="Mona Ali"/>
    <n v="181716"/>
    <x v="0"/>
    <x v="1"/>
    <x v="0"/>
  </r>
  <r>
    <n v="241"/>
    <x v="310"/>
    <x v="2"/>
    <s v="Sales Executive"/>
    <s v="Male"/>
    <n v="22"/>
    <n v="8938"/>
    <n v="6"/>
    <n v="1"/>
    <x v="0"/>
    <x v="2"/>
    <s v="Sara Adel"/>
    <n v="107256"/>
    <x v="2"/>
    <x v="1"/>
    <x v="0"/>
  </r>
  <r>
    <n v="247"/>
    <x v="311"/>
    <x v="5"/>
    <s v="Data Analyst"/>
    <s v="Male"/>
    <n v="46"/>
    <n v="14599"/>
    <n v="7"/>
    <n v="1"/>
    <x v="1"/>
    <x v="0"/>
    <s v="Ahmed Hassan"/>
    <n v="175188"/>
    <x v="1"/>
    <x v="1"/>
    <x v="0"/>
  </r>
  <r>
    <n v="249"/>
    <x v="312"/>
    <x v="3"/>
    <s v="HR Executive"/>
    <s v="Female"/>
    <n v="43"/>
    <n v="9356"/>
    <n v="3"/>
    <n v="4"/>
    <x v="1"/>
    <x v="1"/>
    <s v="Khaled Samir"/>
    <n v="112272"/>
    <x v="0"/>
    <x v="1"/>
    <x v="1"/>
  </r>
  <r>
    <n v="250"/>
    <x v="313"/>
    <x v="5"/>
    <s v="IT Support"/>
    <s v="Male"/>
    <n v="60"/>
    <n v="8927"/>
    <n v="5"/>
    <n v="2"/>
    <x v="1"/>
    <x v="0"/>
    <s v="Youssef Mahmoud"/>
    <n v="107124"/>
    <x v="1"/>
    <x v="1"/>
    <x v="0"/>
  </r>
  <r>
    <n v="251"/>
    <x v="314"/>
    <x v="2"/>
    <s v="Sales Executive"/>
    <s v="Female"/>
    <n v="51"/>
    <n v="7013"/>
    <n v="7"/>
    <n v="5"/>
    <x v="1"/>
    <x v="2"/>
    <s v="Mona Ali"/>
    <n v="84156"/>
    <x v="1"/>
    <x v="1"/>
    <x v="1"/>
  </r>
  <r>
    <n v="253"/>
    <x v="315"/>
    <x v="4"/>
    <s v="Marketing Specialist"/>
    <s v="Male"/>
    <n v="52"/>
    <n v="4280"/>
    <n v="5"/>
    <n v="3"/>
    <x v="0"/>
    <x v="2"/>
    <s v="Sara Adel"/>
    <n v="51360"/>
    <x v="1"/>
    <x v="1"/>
    <x v="2"/>
  </r>
  <r>
    <n v="255"/>
    <x v="316"/>
    <x v="2"/>
    <s v="Sales Executive"/>
    <s v="Female"/>
    <n v="51"/>
    <n v="5339"/>
    <n v="7"/>
    <n v="2"/>
    <x v="0"/>
    <x v="0"/>
    <s v="Mona Ali"/>
    <n v="64068"/>
    <x v="1"/>
    <x v="1"/>
    <x v="0"/>
  </r>
  <r>
    <n v="256"/>
    <x v="317"/>
    <x v="2"/>
    <s v="Sales Manager"/>
    <s v="Female"/>
    <n v="43"/>
    <n v="11145"/>
    <n v="3"/>
    <n v="2"/>
    <x v="1"/>
    <x v="2"/>
    <s v="Khaled Samir"/>
    <n v="133740"/>
    <x v="0"/>
    <x v="1"/>
    <x v="0"/>
  </r>
  <r>
    <n v="258"/>
    <x v="318"/>
    <x v="1"/>
    <s v="Operations Officer"/>
    <s v="Male"/>
    <n v="40"/>
    <n v="6978"/>
    <n v="6"/>
    <n v="1"/>
    <x v="0"/>
    <x v="1"/>
    <s v="Ahmed Hassan"/>
    <n v="83736"/>
    <x v="0"/>
    <x v="1"/>
    <x v="0"/>
  </r>
  <r>
    <n v="262"/>
    <x v="319"/>
    <x v="2"/>
    <s v="Sales Manager"/>
    <s v="Female"/>
    <n v="32"/>
    <n v="11633"/>
    <n v="7"/>
    <n v="1"/>
    <x v="1"/>
    <x v="2"/>
    <s v="Khaled Samir"/>
    <n v="139596"/>
    <x v="0"/>
    <x v="1"/>
    <x v="0"/>
  </r>
  <r>
    <n v="270"/>
    <x v="320"/>
    <x v="4"/>
    <s v="Marketing Specialist"/>
    <s v="Male"/>
    <n v="29"/>
    <n v="16381"/>
    <n v="7"/>
    <n v="3"/>
    <x v="1"/>
    <x v="2"/>
    <s v="Ahmed Hassan"/>
    <n v="196572"/>
    <x v="2"/>
    <x v="1"/>
    <x v="2"/>
  </r>
  <r>
    <n v="273"/>
    <x v="321"/>
    <x v="3"/>
    <s v="HR Executive"/>
    <s v="Female"/>
    <n v="38"/>
    <n v="11299"/>
    <n v="5"/>
    <n v="4"/>
    <x v="0"/>
    <x v="2"/>
    <s v="Ahmed Hassan"/>
    <n v="135588"/>
    <x v="0"/>
    <x v="1"/>
    <x v="1"/>
  </r>
  <r>
    <n v="274"/>
    <x v="322"/>
    <x v="2"/>
    <s v="Sales Executive"/>
    <s v="Female"/>
    <n v="32"/>
    <n v="4140"/>
    <n v="5"/>
    <n v="5"/>
    <x v="0"/>
    <x v="0"/>
    <s v="Ahmed Hassan"/>
    <n v="49680"/>
    <x v="0"/>
    <x v="1"/>
    <x v="1"/>
  </r>
  <r>
    <n v="286"/>
    <x v="323"/>
    <x v="3"/>
    <s v="HR Executive"/>
    <s v="Male"/>
    <n v="23"/>
    <n v="14807"/>
    <n v="3"/>
    <n v="5"/>
    <x v="0"/>
    <x v="1"/>
    <s v="Khaled Samir"/>
    <n v="177684"/>
    <x v="2"/>
    <x v="1"/>
    <x v="1"/>
  </r>
  <r>
    <n v="287"/>
    <x v="324"/>
    <x v="4"/>
    <s v="Marketing Specialist"/>
    <s v="Female"/>
    <n v="30"/>
    <n v="16045"/>
    <n v="5"/>
    <n v="5"/>
    <x v="0"/>
    <x v="2"/>
    <s v="Khaled Samir"/>
    <n v="192540"/>
    <x v="0"/>
    <x v="1"/>
    <x v="1"/>
  </r>
  <r>
    <n v="288"/>
    <x v="325"/>
    <x v="2"/>
    <s v="Sales Executive"/>
    <s v="Male"/>
    <n v="47"/>
    <n v="19304"/>
    <n v="6"/>
    <n v="4"/>
    <x v="0"/>
    <x v="2"/>
    <s v="Sara Adel"/>
    <n v="231648"/>
    <x v="1"/>
    <x v="1"/>
    <x v="1"/>
  </r>
  <r>
    <n v="289"/>
    <x v="326"/>
    <x v="4"/>
    <s v="Marketing Specialist"/>
    <s v="Male"/>
    <n v="56"/>
    <n v="8084"/>
    <n v="4"/>
    <n v="2"/>
    <x v="1"/>
    <x v="1"/>
    <s v="Ahmed Hassan"/>
    <n v="97008"/>
    <x v="1"/>
    <x v="1"/>
    <x v="0"/>
  </r>
  <r>
    <n v="291"/>
    <x v="327"/>
    <x v="5"/>
    <s v="Data Analyst"/>
    <s v="Male"/>
    <n v="45"/>
    <n v="5798"/>
    <n v="6"/>
    <n v="1"/>
    <x v="0"/>
    <x v="2"/>
    <s v="Khaled Samir"/>
    <n v="69576"/>
    <x v="0"/>
    <x v="1"/>
    <x v="0"/>
  </r>
  <r>
    <n v="292"/>
    <x v="328"/>
    <x v="4"/>
    <s v="Marketing Specialist"/>
    <s v="Female"/>
    <n v="41"/>
    <n v="13111"/>
    <n v="5"/>
    <n v="1"/>
    <x v="1"/>
    <x v="2"/>
    <s v="Khaled Samir"/>
    <n v="157332"/>
    <x v="0"/>
    <x v="1"/>
    <x v="0"/>
  </r>
  <r>
    <n v="295"/>
    <x v="329"/>
    <x v="5"/>
    <s v="IT Support"/>
    <s v="Female"/>
    <n v="59"/>
    <n v="5060"/>
    <n v="5"/>
    <n v="2"/>
    <x v="1"/>
    <x v="0"/>
    <s v="Sara Adel"/>
    <n v="60720"/>
    <x v="1"/>
    <x v="1"/>
    <x v="0"/>
  </r>
  <r>
    <n v="296"/>
    <x v="330"/>
    <x v="5"/>
    <s v="Data Analyst"/>
    <s v="Female"/>
    <n v="53"/>
    <n v="18713"/>
    <n v="4"/>
    <n v="4"/>
    <x v="1"/>
    <x v="1"/>
    <s v="Sara Adel"/>
    <n v="224556"/>
    <x v="1"/>
    <x v="1"/>
    <x v="1"/>
  </r>
  <r>
    <n v="299"/>
    <x v="331"/>
    <x v="4"/>
    <s v="Content Creator"/>
    <s v="Female"/>
    <n v="33"/>
    <n v="7785"/>
    <n v="5"/>
    <n v="1"/>
    <x v="1"/>
    <x v="2"/>
    <s v="Sara Adel"/>
    <n v="93420"/>
    <x v="0"/>
    <x v="1"/>
    <x v="0"/>
  </r>
  <r>
    <n v="300"/>
    <x v="332"/>
    <x v="3"/>
    <s v="Recruiter"/>
    <s v="Female"/>
    <n v="42"/>
    <n v="15916"/>
    <n v="3"/>
    <n v="2"/>
    <x v="1"/>
    <x v="0"/>
    <s v="Sara Adel"/>
    <n v="190992"/>
    <x v="0"/>
    <x v="1"/>
    <x v="0"/>
  </r>
  <r>
    <n v="301"/>
    <x v="333"/>
    <x v="3"/>
    <s v="HR Executive"/>
    <s v="Female"/>
    <n v="60"/>
    <n v="10156"/>
    <n v="3"/>
    <n v="2"/>
    <x v="1"/>
    <x v="0"/>
    <s v="Ahmed Hassan"/>
    <n v="121872"/>
    <x v="1"/>
    <x v="1"/>
    <x v="0"/>
  </r>
  <r>
    <n v="303"/>
    <x v="334"/>
    <x v="0"/>
    <s v="Financial Analyst"/>
    <s v="Male"/>
    <n v="35"/>
    <n v="15846"/>
    <n v="6"/>
    <n v="4"/>
    <x v="1"/>
    <x v="0"/>
    <s v="Khaled Samir"/>
    <n v="190152"/>
    <x v="0"/>
    <x v="1"/>
    <x v="1"/>
  </r>
  <r>
    <n v="306"/>
    <x v="335"/>
    <x v="1"/>
    <s v="Supply Chain Analyst"/>
    <s v="Female"/>
    <n v="23"/>
    <n v="9673"/>
    <n v="7"/>
    <n v="5"/>
    <x v="1"/>
    <x v="2"/>
    <s v="Sara Adel"/>
    <n v="116076"/>
    <x v="2"/>
    <x v="1"/>
    <x v="1"/>
  </r>
  <r>
    <n v="307"/>
    <x v="336"/>
    <x v="1"/>
    <s v="Supply Chain Analyst"/>
    <s v="Female"/>
    <n v="43"/>
    <n v="17071"/>
    <n v="3"/>
    <n v="4"/>
    <x v="1"/>
    <x v="1"/>
    <s v="Sara Adel"/>
    <n v="204852"/>
    <x v="0"/>
    <x v="1"/>
    <x v="1"/>
  </r>
  <r>
    <n v="310"/>
    <x v="337"/>
    <x v="2"/>
    <s v="Sales Manager"/>
    <s v="Male"/>
    <n v="55"/>
    <n v="13644"/>
    <n v="3"/>
    <n v="3"/>
    <x v="1"/>
    <x v="1"/>
    <s v="Sara Adel"/>
    <n v="163728"/>
    <x v="1"/>
    <x v="1"/>
    <x v="2"/>
  </r>
  <r>
    <n v="311"/>
    <x v="338"/>
    <x v="1"/>
    <s v="Operations Officer"/>
    <s v="Female"/>
    <n v="60"/>
    <n v="13291"/>
    <n v="6"/>
    <n v="1"/>
    <x v="0"/>
    <x v="0"/>
    <s v="Mona Ali"/>
    <n v="159492"/>
    <x v="1"/>
    <x v="1"/>
    <x v="0"/>
  </r>
  <r>
    <n v="312"/>
    <x v="339"/>
    <x v="3"/>
    <s v="Recruiter"/>
    <s v="Male"/>
    <n v="40"/>
    <n v="9675"/>
    <n v="4"/>
    <n v="5"/>
    <x v="1"/>
    <x v="1"/>
    <s v="Sara Adel"/>
    <n v="116100"/>
    <x v="0"/>
    <x v="1"/>
    <x v="1"/>
  </r>
  <r>
    <n v="317"/>
    <x v="340"/>
    <x v="2"/>
    <s v="Sales Manager"/>
    <s v="Male"/>
    <n v="27"/>
    <n v="12551"/>
    <n v="7"/>
    <n v="3"/>
    <x v="0"/>
    <x v="2"/>
    <s v="Ahmed Hassan"/>
    <n v="150612"/>
    <x v="2"/>
    <x v="1"/>
    <x v="2"/>
  </r>
  <r>
    <n v="321"/>
    <x v="341"/>
    <x v="3"/>
    <s v="HR Executive"/>
    <s v="Female"/>
    <n v="39"/>
    <n v="8963"/>
    <n v="3"/>
    <n v="2"/>
    <x v="1"/>
    <x v="2"/>
    <s v="Sara Adel"/>
    <n v="107556"/>
    <x v="0"/>
    <x v="1"/>
    <x v="0"/>
  </r>
  <r>
    <n v="324"/>
    <x v="342"/>
    <x v="4"/>
    <s v="Marketing Specialist"/>
    <s v="Female"/>
    <n v="46"/>
    <n v="15458"/>
    <n v="5"/>
    <n v="2"/>
    <x v="0"/>
    <x v="1"/>
    <s v="Mona Ali"/>
    <n v="185496"/>
    <x v="1"/>
    <x v="1"/>
    <x v="0"/>
  </r>
  <r>
    <n v="325"/>
    <x v="343"/>
    <x v="2"/>
    <s v="Sales Manager"/>
    <s v="Female"/>
    <n v="28"/>
    <n v="17050"/>
    <n v="7"/>
    <n v="3"/>
    <x v="0"/>
    <x v="0"/>
    <s v="Mona Ali"/>
    <n v="204600"/>
    <x v="2"/>
    <x v="1"/>
    <x v="2"/>
  </r>
  <r>
    <n v="326"/>
    <x v="344"/>
    <x v="4"/>
    <s v="Content Creator"/>
    <s v="Female"/>
    <n v="49"/>
    <n v="7047"/>
    <n v="6"/>
    <n v="5"/>
    <x v="1"/>
    <x v="1"/>
    <s v="Khaled Samir"/>
    <n v="84564"/>
    <x v="1"/>
    <x v="1"/>
    <x v="1"/>
  </r>
  <r>
    <n v="331"/>
    <x v="345"/>
    <x v="4"/>
    <s v="Content Creator"/>
    <s v="Female"/>
    <n v="40"/>
    <n v="7374"/>
    <n v="5"/>
    <n v="4"/>
    <x v="1"/>
    <x v="0"/>
    <s v="Mona Ali"/>
    <n v="88488"/>
    <x v="0"/>
    <x v="1"/>
    <x v="1"/>
  </r>
  <r>
    <n v="332"/>
    <x v="346"/>
    <x v="1"/>
    <s v="Operations Officer"/>
    <s v="Female"/>
    <n v="52"/>
    <n v="12475"/>
    <n v="7"/>
    <n v="2"/>
    <x v="0"/>
    <x v="1"/>
    <s v="Sara Adel"/>
    <n v="149700"/>
    <x v="1"/>
    <x v="1"/>
    <x v="0"/>
  </r>
  <r>
    <n v="340"/>
    <x v="347"/>
    <x v="3"/>
    <s v="HR Executive"/>
    <s v="Male"/>
    <n v="38"/>
    <n v="15552"/>
    <n v="3"/>
    <n v="1"/>
    <x v="0"/>
    <x v="0"/>
    <s v="Mona Ali"/>
    <n v="186624"/>
    <x v="0"/>
    <x v="1"/>
    <x v="0"/>
  </r>
  <r>
    <n v="341"/>
    <x v="348"/>
    <x v="0"/>
    <s v="Financial Analyst"/>
    <s v="Male"/>
    <n v="26"/>
    <n v="11851"/>
    <n v="7"/>
    <n v="1"/>
    <x v="0"/>
    <x v="2"/>
    <s v="Ahmed Hassan"/>
    <n v="142212"/>
    <x v="2"/>
    <x v="1"/>
    <x v="0"/>
  </r>
  <r>
    <n v="345"/>
    <x v="349"/>
    <x v="0"/>
    <s v="Accountant"/>
    <s v="Male"/>
    <n v="40"/>
    <n v="8911"/>
    <n v="6"/>
    <n v="1"/>
    <x v="1"/>
    <x v="2"/>
    <s v="Sara Adel"/>
    <n v="106932"/>
    <x v="0"/>
    <x v="1"/>
    <x v="0"/>
  </r>
  <r>
    <n v="348"/>
    <x v="350"/>
    <x v="1"/>
    <s v="Operations Officer"/>
    <s v="Male"/>
    <n v="23"/>
    <n v="11451"/>
    <n v="7"/>
    <n v="4"/>
    <x v="0"/>
    <x v="2"/>
    <s v="Khaled Samir"/>
    <n v="137412"/>
    <x v="2"/>
    <x v="1"/>
    <x v="1"/>
  </r>
  <r>
    <n v="353"/>
    <x v="351"/>
    <x v="4"/>
    <s v="Marketing Specialist"/>
    <s v="Female"/>
    <n v="51"/>
    <n v="6741"/>
    <n v="7"/>
    <n v="5"/>
    <x v="1"/>
    <x v="1"/>
    <s v="Khaled Samir"/>
    <n v="80892"/>
    <x v="1"/>
    <x v="1"/>
    <x v="1"/>
  </r>
  <r>
    <n v="356"/>
    <x v="352"/>
    <x v="0"/>
    <s v="Accountant"/>
    <s v="Female"/>
    <n v="43"/>
    <n v="18288"/>
    <n v="7"/>
    <n v="1"/>
    <x v="1"/>
    <x v="1"/>
    <s v="Ahmed Hassan"/>
    <n v="219456"/>
    <x v="0"/>
    <x v="1"/>
    <x v="0"/>
  </r>
  <r>
    <n v="357"/>
    <x v="353"/>
    <x v="4"/>
    <s v="Content Creator"/>
    <s v="Male"/>
    <n v="36"/>
    <n v="12252"/>
    <n v="4"/>
    <n v="5"/>
    <x v="0"/>
    <x v="1"/>
    <s v="Sara Adel"/>
    <n v="147024"/>
    <x v="0"/>
    <x v="1"/>
    <x v="1"/>
  </r>
  <r>
    <n v="358"/>
    <x v="354"/>
    <x v="3"/>
    <s v="Recruiter"/>
    <s v="Female"/>
    <n v="44"/>
    <n v="9473"/>
    <n v="3"/>
    <n v="2"/>
    <x v="1"/>
    <x v="0"/>
    <s v="Mona Ali"/>
    <n v="113676"/>
    <x v="0"/>
    <x v="1"/>
    <x v="0"/>
  </r>
  <r>
    <n v="360"/>
    <x v="355"/>
    <x v="4"/>
    <s v="Marketing Specialist"/>
    <s v="Male"/>
    <n v="60"/>
    <n v="10017"/>
    <n v="4"/>
    <n v="4"/>
    <x v="0"/>
    <x v="0"/>
    <s v="Sara Adel"/>
    <n v="120204"/>
    <x v="1"/>
    <x v="1"/>
    <x v="1"/>
  </r>
  <r>
    <n v="363"/>
    <x v="356"/>
    <x v="2"/>
    <s v="Sales Manager"/>
    <s v="Male"/>
    <n v="37"/>
    <n v="7996"/>
    <n v="5"/>
    <n v="4"/>
    <x v="1"/>
    <x v="0"/>
    <s v="Ahmed Hassan"/>
    <n v="95952"/>
    <x v="0"/>
    <x v="1"/>
    <x v="1"/>
  </r>
  <r>
    <n v="367"/>
    <x v="357"/>
    <x v="4"/>
    <s v="Marketing Specialist"/>
    <s v="Female"/>
    <n v="26"/>
    <n v="10476"/>
    <n v="6"/>
    <n v="2"/>
    <x v="1"/>
    <x v="2"/>
    <s v="Khaled Samir"/>
    <n v="125712"/>
    <x v="2"/>
    <x v="1"/>
    <x v="0"/>
  </r>
  <r>
    <n v="368"/>
    <x v="358"/>
    <x v="3"/>
    <s v="Recruiter"/>
    <s v="Female"/>
    <n v="47"/>
    <n v="11914"/>
    <n v="4"/>
    <n v="5"/>
    <x v="0"/>
    <x v="1"/>
    <s v="Sara Adel"/>
    <n v="142968"/>
    <x v="1"/>
    <x v="1"/>
    <x v="1"/>
  </r>
  <r>
    <n v="371"/>
    <x v="359"/>
    <x v="4"/>
    <s v="Marketing Specialist"/>
    <s v="Male"/>
    <n v="58"/>
    <n v="4343"/>
    <n v="7"/>
    <n v="2"/>
    <x v="0"/>
    <x v="2"/>
    <s v="Khaled Samir"/>
    <n v="52116"/>
    <x v="1"/>
    <x v="1"/>
    <x v="0"/>
  </r>
  <r>
    <n v="378"/>
    <x v="360"/>
    <x v="3"/>
    <s v="HR Executive"/>
    <s v="Female"/>
    <n v="48"/>
    <n v="19575"/>
    <n v="7"/>
    <n v="3"/>
    <x v="1"/>
    <x v="2"/>
    <s v="Mona Ali"/>
    <n v="234900"/>
    <x v="1"/>
    <x v="1"/>
    <x v="2"/>
  </r>
  <r>
    <n v="379"/>
    <x v="361"/>
    <x v="5"/>
    <s v="IT Support"/>
    <s v="Female"/>
    <n v="35"/>
    <n v="10859"/>
    <n v="4"/>
    <n v="4"/>
    <x v="1"/>
    <x v="0"/>
    <s v="Mona Ali"/>
    <n v="130308"/>
    <x v="0"/>
    <x v="1"/>
    <x v="1"/>
  </r>
  <r>
    <n v="381"/>
    <x v="17"/>
    <x v="4"/>
    <s v="Content Creator"/>
    <s v="Female"/>
    <n v="35"/>
    <n v="18382"/>
    <n v="4"/>
    <n v="2"/>
    <x v="1"/>
    <x v="1"/>
    <s v="Khaled Samir"/>
    <n v="220584"/>
    <x v="0"/>
    <x v="1"/>
    <x v="0"/>
  </r>
  <r>
    <n v="382"/>
    <x v="362"/>
    <x v="2"/>
    <s v="Sales Manager"/>
    <s v="Female"/>
    <n v="35"/>
    <n v="9511"/>
    <n v="5"/>
    <n v="1"/>
    <x v="1"/>
    <x v="2"/>
    <s v="Mona Ali"/>
    <n v="114132"/>
    <x v="0"/>
    <x v="1"/>
    <x v="0"/>
  </r>
  <r>
    <n v="394"/>
    <x v="170"/>
    <x v="0"/>
    <s v="Accountant"/>
    <s v="Male"/>
    <n v="56"/>
    <n v="6640"/>
    <n v="4"/>
    <n v="2"/>
    <x v="0"/>
    <x v="0"/>
    <s v="Youssef Mahmoud"/>
    <n v="79680"/>
    <x v="1"/>
    <x v="1"/>
    <x v="0"/>
  </r>
  <r>
    <n v="402"/>
    <x v="363"/>
    <x v="3"/>
    <s v="Recruiter"/>
    <s v="Female"/>
    <n v="35"/>
    <n v="8188"/>
    <n v="5"/>
    <n v="4"/>
    <x v="1"/>
    <x v="2"/>
    <s v="Mona Ali"/>
    <n v="98256"/>
    <x v="0"/>
    <x v="1"/>
    <x v="1"/>
  </r>
  <r>
    <n v="404"/>
    <x v="364"/>
    <x v="1"/>
    <s v="Operations Officer"/>
    <s v="Female"/>
    <n v="27"/>
    <n v="7233"/>
    <n v="6"/>
    <n v="4"/>
    <x v="0"/>
    <x v="1"/>
    <s v="Sara Adel"/>
    <n v="86796"/>
    <x v="2"/>
    <x v="1"/>
    <x v="1"/>
  </r>
  <r>
    <n v="405"/>
    <x v="365"/>
    <x v="1"/>
    <s v="Supply Chain Analyst"/>
    <s v="Male"/>
    <n v="31"/>
    <n v="17223"/>
    <n v="7"/>
    <n v="5"/>
    <x v="1"/>
    <x v="0"/>
    <s v="Sara Adel"/>
    <n v="206676"/>
    <x v="0"/>
    <x v="1"/>
    <x v="1"/>
  </r>
  <r>
    <n v="406"/>
    <x v="366"/>
    <x v="4"/>
    <s v="Content Creator"/>
    <s v="Female"/>
    <n v="48"/>
    <n v="8498"/>
    <n v="6"/>
    <n v="4"/>
    <x v="1"/>
    <x v="2"/>
    <s v="Khaled Samir"/>
    <n v="101976"/>
    <x v="1"/>
    <x v="1"/>
    <x v="1"/>
  </r>
  <r>
    <n v="407"/>
    <x v="212"/>
    <x v="1"/>
    <s v="Operations Officer"/>
    <s v="Female"/>
    <n v="47"/>
    <n v="11257"/>
    <n v="7"/>
    <n v="4"/>
    <x v="1"/>
    <x v="0"/>
    <s v="Youssef Mahmoud"/>
    <n v="135084"/>
    <x v="1"/>
    <x v="1"/>
    <x v="1"/>
  </r>
  <r>
    <n v="411"/>
    <x v="367"/>
    <x v="4"/>
    <s v="Marketing Specialist"/>
    <s v="Male"/>
    <n v="57"/>
    <n v="9317"/>
    <n v="4"/>
    <n v="1"/>
    <x v="1"/>
    <x v="2"/>
    <s v="Ahmed Hassan"/>
    <n v="111804"/>
    <x v="1"/>
    <x v="1"/>
    <x v="0"/>
  </r>
  <r>
    <n v="412"/>
    <x v="368"/>
    <x v="5"/>
    <s v="Software Engineer"/>
    <s v="Male"/>
    <n v="48"/>
    <n v="12658"/>
    <n v="3"/>
    <n v="4"/>
    <x v="1"/>
    <x v="0"/>
    <s v="Khaled Samir"/>
    <n v="151896"/>
    <x v="1"/>
    <x v="1"/>
    <x v="1"/>
  </r>
  <r>
    <n v="416"/>
    <x v="369"/>
    <x v="4"/>
    <s v="Content Creator"/>
    <s v="Male"/>
    <n v="54"/>
    <n v="9836"/>
    <n v="4"/>
    <n v="3"/>
    <x v="1"/>
    <x v="0"/>
    <s v="Ahmed Hassan"/>
    <n v="118032"/>
    <x v="1"/>
    <x v="1"/>
    <x v="2"/>
  </r>
  <r>
    <n v="417"/>
    <x v="370"/>
    <x v="4"/>
    <s v="Marketing Specialist"/>
    <s v="Female"/>
    <n v="58"/>
    <n v="14476"/>
    <n v="6"/>
    <n v="5"/>
    <x v="1"/>
    <x v="2"/>
    <s v="Mona Ali"/>
    <n v="173712"/>
    <x v="1"/>
    <x v="1"/>
    <x v="1"/>
  </r>
  <r>
    <n v="418"/>
    <x v="371"/>
    <x v="5"/>
    <s v="Software Engineer"/>
    <s v="Male"/>
    <n v="26"/>
    <n v="19510"/>
    <n v="6"/>
    <n v="5"/>
    <x v="0"/>
    <x v="1"/>
    <s v="Youssef Mahmoud"/>
    <n v="234120"/>
    <x v="2"/>
    <x v="1"/>
    <x v="1"/>
  </r>
  <r>
    <n v="420"/>
    <x v="372"/>
    <x v="1"/>
    <s v="Supply Chain Analyst"/>
    <s v="Male"/>
    <n v="56"/>
    <n v="11940"/>
    <n v="5"/>
    <n v="3"/>
    <x v="0"/>
    <x v="0"/>
    <s v="Khaled Samir"/>
    <n v="143280"/>
    <x v="1"/>
    <x v="1"/>
    <x v="2"/>
  </r>
  <r>
    <n v="424"/>
    <x v="373"/>
    <x v="5"/>
    <s v="IT Support"/>
    <s v="Male"/>
    <n v="29"/>
    <n v="4064"/>
    <n v="7"/>
    <n v="2"/>
    <x v="0"/>
    <x v="2"/>
    <s v="Khaled Samir"/>
    <n v="48768"/>
    <x v="2"/>
    <x v="1"/>
    <x v="0"/>
  </r>
  <r>
    <n v="430"/>
    <x v="374"/>
    <x v="4"/>
    <s v="Content Creator"/>
    <s v="Female"/>
    <n v="50"/>
    <n v="17304"/>
    <n v="5"/>
    <n v="2"/>
    <x v="1"/>
    <x v="0"/>
    <s v="Sara Adel"/>
    <n v="207648"/>
    <x v="1"/>
    <x v="1"/>
    <x v="0"/>
  </r>
  <r>
    <n v="438"/>
    <x v="375"/>
    <x v="0"/>
    <s v="Financial Analyst"/>
    <s v="Male"/>
    <n v="26"/>
    <n v="19425"/>
    <n v="3"/>
    <n v="4"/>
    <x v="0"/>
    <x v="1"/>
    <s v="Sara Adel"/>
    <n v="233100"/>
    <x v="2"/>
    <x v="1"/>
    <x v="1"/>
  </r>
  <r>
    <n v="440"/>
    <x v="376"/>
    <x v="3"/>
    <s v="HR Executive"/>
    <s v="Male"/>
    <n v="38"/>
    <n v="16237"/>
    <n v="7"/>
    <n v="5"/>
    <x v="1"/>
    <x v="1"/>
    <s v="Sara Adel"/>
    <n v="194844"/>
    <x v="0"/>
    <x v="1"/>
    <x v="1"/>
  </r>
  <r>
    <n v="443"/>
    <x v="377"/>
    <x v="0"/>
    <s v="Accountant"/>
    <s v="Male"/>
    <n v="58"/>
    <n v="16623"/>
    <n v="4"/>
    <n v="3"/>
    <x v="0"/>
    <x v="2"/>
    <s v="Mona Ali"/>
    <n v="199476"/>
    <x v="1"/>
    <x v="1"/>
    <x v="2"/>
  </r>
  <r>
    <n v="447"/>
    <x v="258"/>
    <x v="2"/>
    <s v="Sales Manager"/>
    <s v="Female"/>
    <n v="32"/>
    <n v="18662"/>
    <n v="7"/>
    <n v="1"/>
    <x v="0"/>
    <x v="1"/>
    <s v="Khaled Samir"/>
    <n v="223944"/>
    <x v="0"/>
    <x v="1"/>
    <x v="0"/>
  </r>
  <r>
    <n v="458"/>
    <x v="378"/>
    <x v="3"/>
    <s v="Recruiter"/>
    <s v="Male"/>
    <n v="38"/>
    <n v="4694"/>
    <n v="7"/>
    <n v="5"/>
    <x v="0"/>
    <x v="2"/>
    <s v="Khaled Samir"/>
    <n v="56328"/>
    <x v="0"/>
    <x v="1"/>
    <x v="1"/>
  </r>
  <r>
    <n v="464"/>
    <x v="379"/>
    <x v="1"/>
    <s v="Operations Officer"/>
    <s v="Male"/>
    <n v="28"/>
    <n v="6778"/>
    <n v="4"/>
    <n v="2"/>
    <x v="1"/>
    <x v="2"/>
    <s v="Khaled Samir"/>
    <n v="81336"/>
    <x v="2"/>
    <x v="1"/>
    <x v="0"/>
  </r>
  <r>
    <n v="465"/>
    <x v="380"/>
    <x v="4"/>
    <s v="Content Creator"/>
    <s v="Female"/>
    <n v="42"/>
    <n v="11508"/>
    <n v="7"/>
    <n v="3"/>
    <x v="1"/>
    <x v="0"/>
    <s v="Ahmed Hassan"/>
    <n v="138096"/>
    <x v="0"/>
    <x v="1"/>
    <x v="2"/>
  </r>
  <r>
    <n v="466"/>
    <x v="381"/>
    <x v="2"/>
    <s v="Sales Executive"/>
    <s v="Female"/>
    <n v="31"/>
    <n v="13081"/>
    <n v="7"/>
    <n v="1"/>
    <x v="0"/>
    <x v="0"/>
    <s v="Mona Ali"/>
    <n v="156972"/>
    <x v="0"/>
    <x v="1"/>
    <x v="0"/>
  </r>
  <r>
    <n v="469"/>
    <x v="382"/>
    <x v="0"/>
    <s v="Financial Analyst"/>
    <s v="Female"/>
    <n v="45"/>
    <n v="7468"/>
    <n v="7"/>
    <n v="5"/>
    <x v="0"/>
    <x v="0"/>
    <s v="Youssef Mahmoud"/>
    <n v="89616"/>
    <x v="0"/>
    <x v="1"/>
    <x v="1"/>
  </r>
  <r>
    <n v="470"/>
    <x v="383"/>
    <x v="3"/>
    <s v="Recruiter"/>
    <s v="Male"/>
    <n v="49"/>
    <n v="7897"/>
    <n v="5"/>
    <n v="5"/>
    <x v="0"/>
    <x v="1"/>
    <s v="Sara Adel"/>
    <n v="94764"/>
    <x v="1"/>
    <x v="1"/>
    <x v="1"/>
  </r>
  <r>
    <n v="471"/>
    <x v="384"/>
    <x v="5"/>
    <s v="Software Engineer"/>
    <s v="Female"/>
    <n v="38"/>
    <n v="8272"/>
    <n v="7"/>
    <n v="2"/>
    <x v="0"/>
    <x v="1"/>
    <s v="Mona Ali"/>
    <n v="99264"/>
    <x v="0"/>
    <x v="1"/>
    <x v="0"/>
  </r>
  <r>
    <n v="472"/>
    <x v="385"/>
    <x v="0"/>
    <s v="Financial Analyst"/>
    <s v="Male"/>
    <n v="22"/>
    <n v="18818"/>
    <n v="6"/>
    <n v="2"/>
    <x v="1"/>
    <x v="2"/>
    <s v="Khaled Samir"/>
    <n v="225816"/>
    <x v="2"/>
    <x v="1"/>
    <x v="0"/>
  </r>
  <r>
    <n v="473"/>
    <x v="386"/>
    <x v="1"/>
    <s v="Supply Chain Analyst"/>
    <s v="Female"/>
    <n v="46"/>
    <n v="15249"/>
    <n v="5"/>
    <n v="5"/>
    <x v="0"/>
    <x v="0"/>
    <s v="Sara Adel"/>
    <n v="182988"/>
    <x v="1"/>
    <x v="1"/>
    <x v="1"/>
  </r>
  <r>
    <n v="474"/>
    <x v="387"/>
    <x v="1"/>
    <s v="Supply Chain Analyst"/>
    <s v="Female"/>
    <n v="22"/>
    <n v="5791"/>
    <n v="4"/>
    <n v="1"/>
    <x v="1"/>
    <x v="2"/>
    <s v="Mona Ali"/>
    <n v="69492"/>
    <x v="2"/>
    <x v="1"/>
    <x v="0"/>
  </r>
  <r>
    <n v="476"/>
    <x v="388"/>
    <x v="1"/>
    <s v="Supply Chain Analyst"/>
    <s v="Male"/>
    <n v="29"/>
    <n v="19860"/>
    <n v="5"/>
    <n v="3"/>
    <x v="0"/>
    <x v="2"/>
    <s v="Mona Ali"/>
    <n v="238320"/>
    <x v="2"/>
    <x v="1"/>
    <x v="2"/>
  </r>
  <r>
    <n v="477"/>
    <x v="389"/>
    <x v="2"/>
    <s v="Sales Manager"/>
    <s v="Male"/>
    <n v="52"/>
    <n v="9371"/>
    <n v="4"/>
    <n v="5"/>
    <x v="0"/>
    <x v="0"/>
    <s v="Ahmed Hassan"/>
    <n v="112452"/>
    <x v="1"/>
    <x v="1"/>
    <x v="1"/>
  </r>
  <r>
    <n v="478"/>
    <x v="390"/>
    <x v="1"/>
    <s v="Supply Chain Analyst"/>
    <s v="Male"/>
    <n v="50"/>
    <n v="13549"/>
    <n v="5"/>
    <n v="5"/>
    <x v="0"/>
    <x v="1"/>
    <s v="Sara Adel"/>
    <n v="162588"/>
    <x v="1"/>
    <x v="1"/>
    <x v="1"/>
  </r>
  <r>
    <n v="482"/>
    <x v="391"/>
    <x v="5"/>
    <s v="Data Analyst"/>
    <s v="Male"/>
    <n v="51"/>
    <n v="16335"/>
    <n v="5"/>
    <n v="4"/>
    <x v="1"/>
    <x v="0"/>
    <s v="Khaled Samir"/>
    <n v="196020"/>
    <x v="1"/>
    <x v="1"/>
    <x v="1"/>
  </r>
  <r>
    <n v="484"/>
    <x v="392"/>
    <x v="4"/>
    <s v="Content Creator"/>
    <s v="Male"/>
    <n v="26"/>
    <n v="5044"/>
    <n v="3"/>
    <n v="3"/>
    <x v="0"/>
    <x v="0"/>
    <s v="Sara Adel"/>
    <n v="60528"/>
    <x v="2"/>
    <x v="1"/>
    <x v="2"/>
  </r>
  <r>
    <n v="487"/>
    <x v="393"/>
    <x v="0"/>
    <s v="Financial Analyst"/>
    <s v="Female"/>
    <n v="41"/>
    <n v="9501"/>
    <n v="4"/>
    <n v="3"/>
    <x v="0"/>
    <x v="1"/>
    <s v="Youssef Mahmoud"/>
    <n v="114012"/>
    <x v="0"/>
    <x v="1"/>
    <x v="2"/>
  </r>
  <r>
    <n v="498"/>
    <x v="394"/>
    <x v="5"/>
    <s v="IT Support"/>
    <s v="Male"/>
    <n v="38"/>
    <n v="10439"/>
    <n v="6"/>
    <n v="3"/>
    <x v="0"/>
    <x v="1"/>
    <s v="Khaled Samir"/>
    <n v="125268"/>
    <x v="0"/>
    <x v="1"/>
    <x v="2"/>
  </r>
  <r>
    <n v="499"/>
    <x v="395"/>
    <x v="1"/>
    <s v="Supply Chain Analyst"/>
    <s v="Male"/>
    <n v="39"/>
    <n v="4932"/>
    <n v="4"/>
    <n v="1"/>
    <x v="1"/>
    <x v="2"/>
    <s v="Mona Ali"/>
    <n v="59184"/>
    <x v="0"/>
    <x v="1"/>
    <x v="0"/>
  </r>
  <r>
    <n v="500"/>
    <x v="396"/>
    <x v="3"/>
    <s v="HR Executive"/>
    <s v="Male"/>
    <n v="27"/>
    <n v="15440"/>
    <n v="6"/>
    <n v="3"/>
    <x v="0"/>
    <x v="2"/>
    <s v="Mona Ali"/>
    <n v="185280"/>
    <x v="2"/>
    <x v="1"/>
    <x v="2"/>
  </r>
  <r>
    <n v="7"/>
    <x v="397"/>
    <x v="4"/>
    <s v="Content Creator"/>
    <s v="Male"/>
    <n v="59"/>
    <n v="4448"/>
    <n v="2"/>
    <n v="1"/>
    <x v="0"/>
    <x v="0"/>
    <s v="Khaled Samir"/>
    <n v="53376"/>
    <x v="1"/>
    <x v="2"/>
    <x v="0"/>
  </r>
  <r>
    <n v="9"/>
    <x v="398"/>
    <x v="4"/>
    <s v="Content Creator"/>
    <s v="Male"/>
    <n v="50"/>
    <n v="10137"/>
    <n v="0"/>
    <n v="4"/>
    <x v="0"/>
    <x v="2"/>
    <s v="Ahmed Hassan"/>
    <n v="121644"/>
    <x v="1"/>
    <x v="2"/>
    <x v="1"/>
  </r>
  <r>
    <n v="10"/>
    <x v="179"/>
    <x v="1"/>
    <s v="Supply Chain Analyst"/>
    <s v="Male"/>
    <n v="26"/>
    <n v="16303"/>
    <n v="0"/>
    <n v="5"/>
    <x v="0"/>
    <x v="1"/>
    <s v="Khaled Samir"/>
    <n v="195636"/>
    <x v="2"/>
    <x v="2"/>
    <x v="1"/>
  </r>
  <r>
    <n v="11"/>
    <x v="267"/>
    <x v="2"/>
    <s v="Sales Executive"/>
    <s v="Male"/>
    <n v="27"/>
    <n v="9012"/>
    <n v="0"/>
    <n v="1"/>
    <x v="1"/>
    <x v="0"/>
    <s v="Mona Ali"/>
    <n v="108144"/>
    <x v="2"/>
    <x v="2"/>
    <x v="0"/>
  </r>
  <r>
    <n v="23"/>
    <x v="399"/>
    <x v="5"/>
    <s v="IT Support"/>
    <s v="Female"/>
    <n v="57"/>
    <n v="16017"/>
    <n v="2"/>
    <n v="3"/>
    <x v="1"/>
    <x v="0"/>
    <s v="Khaled Samir"/>
    <n v="192204"/>
    <x v="1"/>
    <x v="2"/>
    <x v="2"/>
  </r>
  <r>
    <n v="25"/>
    <x v="400"/>
    <x v="2"/>
    <s v="Sales Executive"/>
    <s v="Female"/>
    <n v="24"/>
    <n v="12854"/>
    <n v="2"/>
    <n v="4"/>
    <x v="1"/>
    <x v="0"/>
    <s v="Sara Adel"/>
    <n v="154248"/>
    <x v="2"/>
    <x v="2"/>
    <x v="1"/>
  </r>
  <r>
    <n v="26"/>
    <x v="329"/>
    <x v="2"/>
    <s v="Sales Manager"/>
    <s v="Female"/>
    <n v="28"/>
    <n v="7208"/>
    <n v="2"/>
    <n v="4"/>
    <x v="1"/>
    <x v="0"/>
    <s v="Sara Adel"/>
    <n v="86496"/>
    <x v="2"/>
    <x v="2"/>
    <x v="1"/>
  </r>
  <r>
    <n v="29"/>
    <x v="401"/>
    <x v="1"/>
    <s v="Supply Chain Analyst"/>
    <s v="Male"/>
    <n v="26"/>
    <n v="17810"/>
    <n v="1"/>
    <n v="1"/>
    <x v="0"/>
    <x v="0"/>
    <s v="Ahmed Hassan"/>
    <n v="213720"/>
    <x v="2"/>
    <x v="2"/>
    <x v="0"/>
  </r>
  <r>
    <n v="37"/>
    <x v="402"/>
    <x v="0"/>
    <s v="Financial Analyst"/>
    <s v="Male"/>
    <n v="30"/>
    <n v="5323"/>
    <n v="1"/>
    <n v="4"/>
    <x v="0"/>
    <x v="0"/>
    <s v="Khaled Samir"/>
    <n v="63876"/>
    <x v="0"/>
    <x v="2"/>
    <x v="1"/>
  </r>
  <r>
    <n v="42"/>
    <x v="403"/>
    <x v="5"/>
    <s v="Software Engineer"/>
    <s v="Male"/>
    <n v="26"/>
    <n v="7734"/>
    <n v="1"/>
    <n v="1"/>
    <x v="1"/>
    <x v="2"/>
    <s v="Youssef Mahmoud"/>
    <n v="92808"/>
    <x v="2"/>
    <x v="2"/>
    <x v="0"/>
  </r>
  <r>
    <n v="43"/>
    <x v="404"/>
    <x v="3"/>
    <s v="Recruiter"/>
    <s v="Male"/>
    <n v="44"/>
    <n v="4778"/>
    <n v="1"/>
    <n v="5"/>
    <x v="1"/>
    <x v="1"/>
    <s v="Khaled Samir"/>
    <n v="57336"/>
    <x v="0"/>
    <x v="2"/>
    <x v="1"/>
  </r>
  <r>
    <n v="44"/>
    <x v="20"/>
    <x v="2"/>
    <s v="Sales Executive"/>
    <s v="Male"/>
    <n v="33"/>
    <n v="11636"/>
    <n v="0"/>
    <n v="4"/>
    <x v="0"/>
    <x v="0"/>
    <s v="Youssef Mahmoud"/>
    <n v="139632"/>
    <x v="0"/>
    <x v="2"/>
    <x v="1"/>
  </r>
  <r>
    <n v="55"/>
    <x v="405"/>
    <x v="2"/>
    <s v="Sales Manager"/>
    <s v="Female"/>
    <n v="54"/>
    <n v="17684"/>
    <n v="1"/>
    <n v="2"/>
    <x v="1"/>
    <x v="0"/>
    <s v="Youssef Mahmoud"/>
    <n v="212208"/>
    <x v="1"/>
    <x v="2"/>
    <x v="0"/>
  </r>
  <r>
    <n v="62"/>
    <x v="406"/>
    <x v="0"/>
    <s v="Financial Analyst"/>
    <s v="Female"/>
    <n v="41"/>
    <n v="7269"/>
    <n v="0"/>
    <n v="3"/>
    <x v="1"/>
    <x v="1"/>
    <s v="Mona Ali"/>
    <n v="87228"/>
    <x v="0"/>
    <x v="2"/>
    <x v="2"/>
  </r>
  <r>
    <n v="65"/>
    <x v="407"/>
    <x v="1"/>
    <s v="Operations Officer"/>
    <s v="Male"/>
    <n v="28"/>
    <n v="17265"/>
    <n v="0"/>
    <n v="2"/>
    <x v="0"/>
    <x v="0"/>
    <s v="Mona Ali"/>
    <n v="207180"/>
    <x v="2"/>
    <x v="2"/>
    <x v="0"/>
  </r>
  <r>
    <n v="71"/>
    <x v="408"/>
    <x v="2"/>
    <s v="Sales Manager"/>
    <s v="Female"/>
    <n v="48"/>
    <n v="6680"/>
    <n v="2"/>
    <n v="3"/>
    <x v="1"/>
    <x v="2"/>
    <s v="Mona Ali"/>
    <n v="80160"/>
    <x v="1"/>
    <x v="2"/>
    <x v="2"/>
  </r>
  <r>
    <n v="73"/>
    <x v="409"/>
    <x v="1"/>
    <s v="Operations Officer"/>
    <s v="Female"/>
    <n v="45"/>
    <n v="7291"/>
    <n v="2"/>
    <n v="3"/>
    <x v="0"/>
    <x v="1"/>
    <s v="Youssef Mahmoud"/>
    <n v="87492"/>
    <x v="0"/>
    <x v="2"/>
    <x v="2"/>
  </r>
  <r>
    <n v="77"/>
    <x v="410"/>
    <x v="0"/>
    <s v="Accountant"/>
    <s v="Female"/>
    <n v="42"/>
    <n v="4639"/>
    <n v="0"/>
    <n v="4"/>
    <x v="0"/>
    <x v="0"/>
    <s v="Khaled Samir"/>
    <n v="55668"/>
    <x v="0"/>
    <x v="2"/>
    <x v="1"/>
  </r>
  <r>
    <n v="81"/>
    <x v="411"/>
    <x v="4"/>
    <s v="Content Creator"/>
    <s v="Female"/>
    <n v="27"/>
    <n v="8639"/>
    <n v="1"/>
    <n v="3"/>
    <x v="1"/>
    <x v="2"/>
    <s v="Sara Adel"/>
    <n v="103668"/>
    <x v="2"/>
    <x v="2"/>
    <x v="2"/>
  </r>
  <r>
    <n v="88"/>
    <x v="412"/>
    <x v="0"/>
    <s v="Financial Analyst"/>
    <s v="Male"/>
    <n v="46"/>
    <n v="14937"/>
    <n v="2"/>
    <n v="1"/>
    <x v="0"/>
    <x v="0"/>
    <s v="Khaled Samir"/>
    <n v="179244"/>
    <x v="1"/>
    <x v="2"/>
    <x v="0"/>
  </r>
  <r>
    <n v="92"/>
    <x v="413"/>
    <x v="2"/>
    <s v="Sales Manager"/>
    <s v="Male"/>
    <n v="38"/>
    <n v="16396"/>
    <n v="2"/>
    <n v="2"/>
    <x v="1"/>
    <x v="0"/>
    <s v="Mona Ali"/>
    <n v="196752"/>
    <x v="0"/>
    <x v="2"/>
    <x v="0"/>
  </r>
  <r>
    <n v="93"/>
    <x v="414"/>
    <x v="2"/>
    <s v="Sales Executive"/>
    <s v="Female"/>
    <n v="24"/>
    <n v="14159"/>
    <n v="2"/>
    <n v="3"/>
    <x v="0"/>
    <x v="2"/>
    <s v="Khaled Samir"/>
    <n v="169908"/>
    <x v="2"/>
    <x v="2"/>
    <x v="2"/>
  </r>
  <r>
    <n v="99"/>
    <x v="415"/>
    <x v="4"/>
    <s v="Marketing Specialist"/>
    <s v="Female"/>
    <n v="22"/>
    <n v="16208"/>
    <n v="0"/>
    <n v="5"/>
    <x v="0"/>
    <x v="0"/>
    <s v="Mona Ali"/>
    <n v="194496"/>
    <x v="2"/>
    <x v="2"/>
    <x v="1"/>
  </r>
  <r>
    <n v="102"/>
    <x v="416"/>
    <x v="1"/>
    <s v="Supply Chain Analyst"/>
    <s v="Female"/>
    <n v="28"/>
    <n v="8739"/>
    <n v="2"/>
    <n v="2"/>
    <x v="0"/>
    <x v="1"/>
    <s v="Sara Adel"/>
    <n v="104868"/>
    <x v="2"/>
    <x v="2"/>
    <x v="0"/>
  </r>
  <r>
    <n v="113"/>
    <x v="417"/>
    <x v="0"/>
    <s v="Accountant"/>
    <s v="Male"/>
    <n v="52"/>
    <n v="19668"/>
    <n v="2"/>
    <n v="3"/>
    <x v="0"/>
    <x v="2"/>
    <s v="Ahmed Hassan"/>
    <n v="236016"/>
    <x v="1"/>
    <x v="2"/>
    <x v="2"/>
  </r>
  <r>
    <n v="118"/>
    <x v="418"/>
    <x v="3"/>
    <s v="HR Executive"/>
    <s v="Male"/>
    <n v="39"/>
    <n v="16040"/>
    <n v="0"/>
    <n v="1"/>
    <x v="1"/>
    <x v="2"/>
    <s v="Khaled Samir"/>
    <n v="192480"/>
    <x v="0"/>
    <x v="2"/>
    <x v="0"/>
  </r>
  <r>
    <n v="126"/>
    <x v="419"/>
    <x v="0"/>
    <s v="Accountant"/>
    <s v="Female"/>
    <n v="60"/>
    <n v="10297"/>
    <n v="1"/>
    <n v="4"/>
    <x v="1"/>
    <x v="0"/>
    <s v="Ahmed Hassan"/>
    <n v="123564"/>
    <x v="1"/>
    <x v="2"/>
    <x v="1"/>
  </r>
  <r>
    <n v="139"/>
    <x v="420"/>
    <x v="0"/>
    <s v="Accountant"/>
    <s v="Female"/>
    <n v="53"/>
    <n v="13871"/>
    <n v="1"/>
    <n v="5"/>
    <x v="0"/>
    <x v="1"/>
    <s v="Ahmed Hassan"/>
    <n v="166452"/>
    <x v="1"/>
    <x v="2"/>
    <x v="1"/>
  </r>
  <r>
    <n v="149"/>
    <x v="421"/>
    <x v="3"/>
    <s v="Recruiter"/>
    <s v="Female"/>
    <n v="29"/>
    <n v="13580"/>
    <n v="2"/>
    <n v="2"/>
    <x v="1"/>
    <x v="1"/>
    <s v="Youssef Mahmoud"/>
    <n v="162960"/>
    <x v="2"/>
    <x v="2"/>
    <x v="0"/>
  </r>
  <r>
    <n v="159"/>
    <x v="422"/>
    <x v="3"/>
    <s v="Recruiter"/>
    <s v="Male"/>
    <n v="53"/>
    <n v="15840"/>
    <n v="0"/>
    <n v="3"/>
    <x v="0"/>
    <x v="2"/>
    <s v="Ahmed Hassan"/>
    <n v="190080"/>
    <x v="1"/>
    <x v="2"/>
    <x v="2"/>
  </r>
  <r>
    <n v="161"/>
    <x v="423"/>
    <x v="1"/>
    <s v="Supply Chain Analyst"/>
    <s v="Female"/>
    <n v="59"/>
    <n v="8938"/>
    <n v="1"/>
    <n v="5"/>
    <x v="0"/>
    <x v="2"/>
    <s v="Ahmed Hassan"/>
    <n v="107256"/>
    <x v="1"/>
    <x v="2"/>
    <x v="1"/>
  </r>
  <r>
    <n v="162"/>
    <x v="424"/>
    <x v="3"/>
    <s v="Recruiter"/>
    <s v="Female"/>
    <n v="32"/>
    <n v="5491"/>
    <n v="1"/>
    <n v="2"/>
    <x v="0"/>
    <x v="1"/>
    <s v="Khaled Samir"/>
    <n v="65892"/>
    <x v="0"/>
    <x v="2"/>
    <x v="0"/>
  </r>
  <r>
    <n v="164"/>
    <x v="425"/>
    <x v="2"/>
    <s v="Sales Executive"/>
    <s v="Male"/>
    <n v="40"/>
    <n v="15785"/>
    <n v="2"/>
    <n v="2"/>
    <x v="0"/>
    <x v="2"/>
    <s v="Khaled Samir"/>
    <n v="189420"/>
    <x v="0"/>
    <x v="2"/>
    <x v="0"/>
  </r>
  <r>
    <n v="166"/>
    <x v="426"/>
    <x v="1"/>
    <s v="Supply Chain Analyst"/>
    <s v="Female"/>
    <n v="46"/>
    <n v="8526"/>
    <n v="0"/>
    <n v="3"/>
    <x v="0"/>
    <x v="2"/>
    <s v="Mona Ali"/>
    <n v="102312"/>
    <x v="1"/>
    <x v="2"/>
    <x v="2"/>
  </r>
  <r>
    <n v="172"/>
    <x v="427"/>
    <x v="0"/>
    <s v="Financial Analyst"/>
    <s v="Male"/>
    <n v="38"/>
    <n v="4363"/>
    <n v="1"/>
    <n v="5"/>
    <x v="1"/>
    <x v="0"/>
    <s v="Youssef Mahmoud"/>
    <n v="52356"/>
    <x v="0"/>
    <x v="2"/>
    <x v="1"/>
  </r>
  <r>
    <n v="197"/>
    <x v="428"/>
    <x v="5"/>
    <s v="IT Support"/>
    <s v="Male"/>
    <n v="24"/>
    <n v="5215"/>
    <n v="1"/>
    <n v="4"/>
    <x v="1"/>
    <x v="0"/>
    <s v="Khaled Samir"/>
    <n v="62580"/>
    <x v="2"/>
    <x v="2"/>
    <x v="1"/>
  </r>
  <r>
    <n v="201"/>
    <x v="429"/>
    <x v="3"/>
    <s v="Recruiter"/>
    <s v="Female"/>
    <n v="23"/>
    <n v="11129"/>
    <n v="2"/>
    <n v="4"/>
    <x v="1"/>
    <x v="2"/>
    <s v="Ahmed Hassan"/>
    <n v="133548"/>
    <x v="2"/>
    <x v="2"/>
    <x v="1"/>
  </r>
  <r>
    <n v="205"/>
    <x v="430"/>
    <x v="1"/>
    <s v="Supply Chain Analyst"/>
    <s v="Female"/>
    <n v="59"/>
    <n v="7685"/>
    <n v="0"/>
    <n v="2"/>
    <x v="0"/>
    <x v="1"/>
    <s v="Mona Ali"/>
    <n v="92220"/>
    <x v="1"/>
    <x v="2"/>
    <x v="0"/>
  </r>
  <r>
    <n v="209"/>
    <x v="431"/>
    <x v="2"/>
    <s v="Sales Manager"/>
    <s v="Female"/>
    <n v="22"/>
    <n v="8534"/>
    <n v="0"/>
    <n v="2"/>
    <x v="1"/>
    <x v="0"/>
    <s v="Ahmed Hassan"/>
    <n v="102408"/>
    <x v="2"/>
    <x v="2"/>
    <x v="0"/>
  </r>
  <r>
    <n v="211"/>
    <x v="377"/>
    <x v="0"/>
    <s v="Financial Analyst"/>
    <s v="Male"/>
    <n v="58"/>
    <n v="17345"/>
    <n v="1"/>
    <n v="2"/>
    <x v="1"/>
    <x v="2"/>
    <s v="Mona Ali"/>
    <n v="208140"/>
    <x v="1"/>
    <x v="2"/>
    <x v="0"/>
  </r>
  <r>
    <n v="217"/>
    <x v="432"/>
    <x v="5"/>
    <s v="Software Engineer"/>
    <s v="Female"/>
    <n v="58"/>
    <n v="6491"/>
    <n v="2"/>
    <n v="5"/>
    <x v="1"/>
    <x v="1"/>
    <s v="Khaled Samir"/>
    <n v="77892"/>
    <x v="1"/>
    <x v="2"/>
    <x v="1"/>
  </r>
  <r>
    <n v="222"/>
    <x v="433"/>
    <x v="2"/>
    <s v="Sales Executive"/>
    <s v="Male"/>
    <n v="27"/>
    <n v="9376"/>
    <n v="1"/>
    <n v="2"/>
    <x v="0"/>
    <x v="2"/>
    <s v="Ahmed Hassan"/>
    <n v="112512"/>
    <x v="2"/>
    <x v="2"/>
    <x v="0"/>
  </r>
  <r>
    <n v="228"/>
    <x v="434"/>
    <x v="3"/>
    <s v="Recruiter"/>
    <s v="Male"/>
    <n v="28"/>
    <n v="8807"/>
    <n v="1"/>
    <n v="3"/>
    <x v="0"/>
    <x v="2"/>
    <s v="Khaled Samir"/>
    <n v="105684"/>
    <x v="2"/>
    <x v="2"/>
    <x v="2"/>
  </r>
  <r>
    <n v="240"/>
    <x v="435"/>
    <x v="0"/>
    <s v="Financial Analyst"/>
    <s v="Female"/>
    <n v="29"/>
    <n v="4079"/>
    <n v="1"/>
    <n v="1"/>
    <x v="0"/>
    <x v="1"/>
    <s v="Khaled Samir"/>
    <n v="48948"/>
    <x v="2"/>
    <x v="2"/>
    <x v="0"/>
  </r>
  <r>
    <n v="245"/>
    <x v="192"/>
    <x v="2"/>
    <s v="Sales Manager"/>
    <s v="Male"/>
    <n v="29"/>
    <n v="16879"/>
    <n v="0"/>
    <n v="3"/>
    <x v="0"/>
    <x v="0"/>
    <s v="Khaled Samir"/>
    <n v="202548"/>
    <x v="2"/>
    <x v="2"/>
    <x v="2"/>
  </r>
  <r>
    <n v="254"/>
    <x v="436"/>
    <x v="3"/>
    <s v="Recruiter"/>
    <s v="Male"/>
    <n v="41"/>
    <n v="18424"/>
    <n v="0"/>
    <n v="2"/>
    <x v="0"/>
    <x v="0"/>
    <s v="Ahmed Hassan"/>
    <n v="221088"/>
    <x v="0"/>
    <x v="2"/>
    <x v="0"/>
  </r>
  <r>
    <n v="259"/>
    <x v="437"/>
    <x v="4"/>
    <s v="Content Creator"/>
    <s v="Female"/>
    <n v="43"/>
    <n v="12508"/>
    <n v="2"/>
    <n v="4"/>
    <x v="0"/>
    <x v="2"/>
    <s v="Ahmed Hassan"/>
    <n v="150096"/>
    <x v="0"/>
    <x v="2"/>
    <x v="1"/>
  </r>
  <r>
    <n v="260"/>
    <x v="438"/>
    <x v="4"/>
    <s v="Content Creator"/>
    <s v="Male"/>
    <n v="55"/>
    <n v="8049"/>
    <n v="2"/>
    <n v="4"/>
    <x v="1"/>
    <x v="1"/>
    <s v="Khaled Samir"/>
    <n v="96588"/>
    <x v="1"/>
    <x v="2"/>
    <x v="1"/>
  </r>
  <r>
    <n v="263"/>
    <x v="439"/>
    <x v="1"/>
    <s v="Operations Officer"/>
    <s v="Male"/>
    <n v="60"/>
    <n v="9623"/>
    <n v="0"/>
    <n v="4"/>
    <x v="1"/>
    <x v="1"/>
    <s v="Youssef Mahmoud"/>
    <n v="115476"/>
    <x v="1"/>
    <x v="2"/>
    <x v="1"/>
  </r>
  <r>
    <n v="266"/>
    <x v="440"/>
    <x v="4"/>
    <s v="Content Creator"/>
    <s v="Male"/>
    <n v="26"/>
    <n v="12008"/>
    <n v="0"/>
    <n v="1"/>
    <x v="0"/>
    <x v="1"/>
    <s v="Sara Adel"/>
    <n v="144096"/>
    <x v="2"/>
    <x v="2"/>
    <x v="0"/>
  </r>
  <r>
    <n v="276"/>
    <x v="441"/>
    <x v="3"/>
    <s v="Recruiter"/>
    <s v="Male"/>
    <n v="56"/>
    <n v="15061"/>
    <n v="1"/>
    <n v="3"/>
    <x v="1"/>
    <x v="0"/>
    <s v="Sara Adel"/>
    <n v="180732"/>
    <x v="1"/>
    <x v="2"/>
    <x v="2"/>
  </r>
  <r>
    <n v="278"/>
    <x v="442"/>
    <x v="4"/>
    <s v="Content Creator"/>
    <s v="Male"/>
    <n v="27"/>
    <n v="6223"/>
    <n v="1"/>
    <n v="1"/>
    <x v="0"/>
    <x v="0"/>
    <s v="Sara Adel"/>
    <n v="74676"/>
    <x v="2"/>
    <x v="2"/>
    <x v="0"/>
  </r>
  <r>
    <n v="280"/>
    <x v="443"/>
    <x v="5"/>
    <s v="Data Analyst"/>
    <s v="Female"/>
    <n v="45"/>
    <n v="7544"/>
    <n v="2"/>
    <n v="4"/>
    <x v="0"/>
    <x v="0"/>
    <s v="Ahmed Hassan"/>
    <n v="90528"/>
    <x v="0"/>
    <x v="2"/>
    <x v="1"/>
  </r>
  <r>
    <n v="282"/>
    <x v="444"/>
    <x v="1"/>
    <s v="Supply Chain Analyst"/>
    <s v="Male"/>
    <n v="45"/>
    <n v="19673"/>
    <n v="1"/>
    <n v="2"/>
    <x v="0"/>
    <x v="2"/>
    <s v="Khaled Samir"/>
    <n v="236076"/>
    <x v="0"/>
    <x v="2"/>
    <x v="0"/>
  </r>
  <r>
    <n v="285"/>
    <x v="445"/>
    <x v="3"/>
    <s v="Recruiter"/>
    <s v="Male"/>
    <n v="36"/>
    <n v="5637"/>
    <n v="2"/>
    <n v="5"/>
    <x v="1"/>
    <x v="0"/>
    <s v="Ahmed Hassan"/>
    <n v="67644"/>
    <x v="0"/>
    <x v="2"/>
    <x v="1"/>
  </r>
  <r>
    <n v="290"/>
    <x v="446"/>
    <x v="5"/>
    <s v="Data Analyst"/>
    <s v="Male"/>
    <n v="34"/>
    <n v="6195"/>
    <n v="2"/>
    <n v="4"/>
    <x v="1"/>
    <x v="0"/>
    <s v="Mona Ali"/>
    <n v="74340"/>
    <x v="0"/>
    <x v="2"/>
    <x v="1"/>
  </r>
  <r>
    <n v="293"/>
    <x v="447"/>
    <x v="4"/>
    <s v="Marketing Specialist"/>
    <s v="Female"/>
    <n v="59"/>
    <n v="17012"/>
    <n v="1"/>
    <n v="5"/>
    <x v="1"/>
    <x v="0"/>
    <s v="Ahmed Hassan"/>
    <n v="204144"/>
    <x v="1"/>
    <x v="2"/>
    <x v="1"/>
  </r>
  <r>
    <n v="304"/>
    <x v="448"/>
    <x v="1"/>
    <s v="Supply Chain Analyst"/>
    <s v="Female"/>
    <n v="31"/>
    <n v="9182"/>
    <n v="2"/>
    <n v="4"/>
    <x v="0"/>
    <x v="1"/>
    <s v="Ahmed Hassan"/>
    <n v="110184"/>
    <x v="0"/>
    <x v="2"/>
    <x v="1"/>
  </r>
  <r>
    <n v="308"/>
    <x v="449"/>
    <x v="0"/>
    <s v="Financial Analyst"/>
    <s v="Female"/>
    <n v="22"/>
    <n v="5269"/>
    <n v="2"/>
    <n v="4"/>
    <x v="1"/>
    <x v="2"/>
    <s v="Mona Ali"/>
    <n v="63228"/>
    <x v="2"/>
    <x v="2"/>
    <x v="1"/>
  </r>
  <r>
    <n v="316"/>
    <x v="450"/>
    <x v="0"/>
    <s v="Accountant"/>
    <s v="Male"/>
    <n v="44"/>
    <n v="11799"/>
    <n v="2"/>
    <n v="1"/>
    <x v="1"/>
    <x v="0"/>
    <s v="Sara Adel"/>
    <n v="141588"/>
    <x v="0"/>
    <x v="2"/>
    <x v="0"/>
  </r>
  <r>
    <n v="318"/>
    <x v="451"/>
    <x v="4"/>
    <s v="Content Creator"/>
    <s v="Male"/>
    <n v="57"/>
    <n v="14798"/>
    <n v="1"/>
    <n v="4"/>
    <x v="0"/>
    <x v="2"/>
    <s v="Mona Ali"/>
    <n v="177576"/>
    <x v="1"/>
    <x v="2"/>
    <x v="1"/>
  </r>
  <r>
    <n v="322"/>
    <x v="74"/>
    <x v="0"/>
    <s v="Financial Analyst"/>
    <s v="Female"/>
    <n v="59"/>
    <n v="10748"/>
    <n v="1"/>
    <n v="4"/>
    <x v="0"/>
    <x v="2"/>
    <s v="Sara Adel"/>
    <n v="128976"/>
    <x v="1"/>
    <x v="2"/>
    <x v="1"/>
  </r>
  <r>
    <n v="327"/>
    <x v="452"/>
    <x v="2"/>
    <s v="Sales Manager"/>
    <s v="Female"/>
    <n v="58"/>
    <n v="5989"/>
    <n v="1"/>
    <n v="4"/>
    <x v="1"/>
    <x v="0"/>
    <s v="Sara Adel"/>
    <n v="71868"/>
    <x v="1"/>
    <x v="2"/>
    <x v="1"/>
  </r>
  <r>
    <n v="335"/>
    <x v="453"/>
    <x v="2"/>
    <s v="Sales Manager"/>
    <s v="Male"/>
    <n v="55"/>
    <n v="8671"/>
    <n v="0"/>
    <n v="1"/>
    <x v="1"/>
    <x v="1"/>
    <s v="Mona Ali"/>
    <n v="104052"/>
    <x v="1"/>
    <x v="2"/>
    <x v="0"/>
  </r>
  <r>
    <n v="344"/>
    <x v="231"/>
    <x v="3"/>
    <s v="Recruiter"/>
    <s v="Female"/>
    <n v="59"/>
    <n v="11961"/>
    <n v="1"/>
    <n v="3"/>
    <x v="0"/>
    <x v="2"/>
    <s v="Youssef Mahmoud"/>
    <n v="143532"/>
    <x v="1"/>
    <x v="2"/>
    <x v="2"/>
  </r>
  <r>
    <n v="350"/>
    <x v="454"/>
    <x v="2"/>
    <s v="Sales Manager"/>
    <s v="Male"/>
    <n v="44"/>
    <n v="5785"/>
    <n v="0"/>
    <n v="3"/>
    <x v="0"/>
    <x v="1"/>
    <s v="Sara Adel"/>
    <n v="69420"/>
    <x v="0"/>
    <x v="2"/>
    <x v="2"/>
  </r>
  <r>
    <n v="351"/>
    <x v="455"/>
    <x v="3"/>
    <s v="Recruiter"/>
    <s v="Female"/>
    <n v="51"/>
    <n v="5962"/>
    <n v="2"/>
    <n v="3"/>
    <x v="0"/>
    <x v="2"/>
    <s v="Ahmed Hassan"/>
    <n v="71544"/>
    <x v="1"/>
    <x v="2"/>
    <x v="2"/>
  </r>
  <r>
    <n v="359"/>
    <x v="456"/>
    <x v="2"/>
    <s v="Sales Executive"/>
    <s v="Male"/>
    <n v="47"/>
    <n v="16880"/>
    <n v="2"/>
    <n v="4"/>
    <x v="0"/>
    <x v="1"/>
    <s v="Khaled Samir"/>
    <n v="202560"/>
    <x v="1"/>
    <x v="2"/>
    <x v="1"/>
  </r>
  <r>
    <n v="365"/>
    <x v="457"/>
    <x v="1"/>
    <s v="Supply Chain Analyst"/>
    <s v="Male"/>
    <n v="49"/>
    <n v="16164"/>
    <n v="2"/>
    <n v="2"/>
    <x v="1"/>
    <x v="1"/>
    <s v="Ahmed Hassan"/>
    <n v="193968"/>
    <x v="1"/>
    <x v="2"/>
    <x v="0"/>
  </r>
  <r>
    <n v="370"/>
    <x v="458"/>
    <x v="0"/>
    <s v="Financial Analyst"/>
    <s v="Female"/>
    <n v="34"/>
    <n v="7795"/>
    <n v="0"/>
    <n v="4"/>
    <x v="0"/>
    <x v="2"/>
    <s v="Mona Ali"/>
    <n v="93540"/>
    <x v="0"/>
    <x v="2"/>
    <x v="1"/>
  </r>
  <r>
    <n v="375"/>
    <x v="459"/>
    <x v="3"/>
    <s v="Recruiter"/>
    <s v="Female"/>
    <n v="41"/>
    <n v="14307"/>
    <n v="1"/>
    <n v="4"/>
    <x v="0"/>
    <x v="2"/>
    <s v="Ahmed Hassan"/>
    <n v="171684"/>
    <x v="0"/>
    <x v="2"/>
    <x v="1"/>
  </r>
  <r>
    <n v="376"/>
    <x v="460"/>
    <x v="4"/>
    <s v="Marketing Specialist"/>
    <s v="Male"/>
    <n v="39"/>
    <n v="14975"/>
    <n v="1"/>
    <n v="5"/>
    <x v="0"/>
    <x v="1"/>
    <s v="Mona Ali"/>
    <n v="179700"/>
    <x v="0"/>
    <x v="2"/>
    <x v="1"/>
  </r>
  <r>
    <n v="383"/>
    <x v="99"/>
    <x v="3"/>
    <s v="HR Executive"/>
    <s v="Female"/>
    <n v="47"/>
    <n v="17484"/>
    <n v="1"/>
    <n v="4"/>
    <x v="1"/>
    <x v="2"/>
    <s v="Khaled Samir"/>
    <n v="209808"/>
    <x v="1"/>
    <x v="2"/>
    <x v="1"/>
  </r>
  <r>
    <n v="384"/>
    <x v="461"/>
    <x v="2"/>
    <s v="Sales Manager"/>
    <s v="Male"/>
    <n v="42"/>
    <n v="11529"/>
    <n v="2"/>
    <n v="5"/>
    <x v="1"/>
    <x v="1"/>
    <s v="Sara Adel"/>
    <n v="138348"/>
    <x v="0"/>
    <x v="2"/>
    <x v="1"/>
  </r>
  <r>
    <n v="385"/>
    <x v="462"/>
    <x v="2"/>
    <s v="Sales Manager"/>
    <s v="Male"/>
    <n v="54"/>
    <n v="18486"/>
    <n v="0"/>
    <n v="1"/>
    <x v="1"/>
    <x v="2"/>
    <s v="Mona Ali"/>
    <n v="221832"/>
    <x v="1"/>
    <x v="2"/>
    <x v="0"/>
  </r>
  <r>
    <n v="388"/>
    <x v="463"/>
    <x v="3"/>
    <s v="Recruiter"/>
    <s v="Female"/>
    <n v="48"/>
    <n v="10968"/>
    <n v="0"/>
    <n v="4"/>
    <x v="1"/>
    <x v="1"/>
    <s v="Youssef Mahmoud"/>
    <n v="131616"/>
    <x v="1"/>
    <x v="2"/>
    <x v="1"/>
  </r>
  <r>
    <n v="390"/>
    <x v="464"/>
    <x v="3"/>
    <s v="HR Executive"/>
    <s v="Female"/>
    <n v="30"/>
    <n v="10457"/>
    <n v="2"/>
    <n v="5"/>
    <x v="1"/>
    <x v="2"/>
    <s v="Youssef Mahmoud"/>
    <n v="125484"/>
    <x v="0"/>
    <x v="2"/>
    <x v="1"/>
  </r>
  <r>
    <n v="396"/>
    <x v="465"/>
    <x v="2"/>
    <s v="Sales Executive"/>
    <s v="Male"/>
    <n v="41"/>
    <n v="15569"/>
    <n v="2"/>
    <n v="2"/>
    <x v="1"/>
    <x v="0"/>
    <s v="Youssef Mahmoud"/>
    <n v="186828"/>
    <x v="0"/>
    <x v="2"/>
    <x v="0"/>
  </r>
  <r>
    <n v="397"/>
    <x v="466"/>
    <x v="0"/>
    <s v="Financial Analyst"/>
    <s v="Male"/>
    <n v="29"/>
    <n v="6105"/>
    <n v="2"/>
    <n v="3"/>
    <x v="0"/>
    <x v="0"/>
    <s v="Sara Adel"/>
    <n v="73260"/>
    <x v="2"/>
    <x v="2"/>
    <x v="2"/>
  </r>
  <r>
    <n v="400"/>
    <x v="467"/>
    <x v="3"/>
    <s v="Recruiter"/>
    <s v="Female"/>
    <n v="30"/>
    <n v="10546"/>
    <n v="0"/>
    <n v="2"/>
    <x v="0"/>
    <x v="2"/>
    <s v="Khaled Samir"/>
    <n v="126552"/>
    <x v="0"/>
    <x v="2"/>
    <x v="0"/>
  </r>
  <r>
    <n v="401"/>
    <x v="468"/>
    <x v="0"/>
    <s v="Financial Analyst"/>
    <s v="Female"/>
    <n v="32"/>
    <n v="16336"/>
    <n v="0"/>
    <n v="1"/>
    <x v="1"/>
    <x v="2"/>
    <s v="Ahmed Hassan"/>
    <n v="196032"/>
    <x v="0"/>
    <x v="2"/>
    <x v="0"/>
  </r>
  <r>
    <n v="410"/>
    <x v="469"/>
    <x v="2"/>
    <s v="Sales Manager"/>
    <s v="Male"/>
    <n v="49"/>
    <n v="17933"/>
    <n v="1"/>
    <n v="5"/>
    <x v="0"/>
    <x v="2"/>
    <s v="Mona Ali"/>
    <n v="215196"/>
    <x v="1"/>
    <x v="2"/>
    <x v="1"/>
  </r>
  <r>
    <n v="413"/>
    <x v="470"/>
    <x v="4"/>
    <s v="Marketing Specialist"/>
    <s v="Female"/>
    <n v="42"/>
    <n v="6528"/>
    <n v="1"/>
    <n v="3"/>
    <x v="1"/>
    <x v="0"/>
    <s v="Youssef Mahmoud"/>
    <n v="78336"/>
    <x v="0"/>
    <x v="2"/>
    <x v="2"/>
  </r>
  <r>
    <n v="414"/>
    <x v="471"/>
    <x v="2"/>
    <s v="Sales Executive"/>
    <s v="Female"/>
    <n v="60"/>
    <n v="10244"/>
    <n v="1"/>
    <n v="2"/>
    <x v="1"/>
    <x v="1"/>
    <s v="Mona Ali"/>
    <n v="122928"/>
    <x v="1"/>
    <x v="2"/>
    <x v="0"/>
  </r>
  <r>
    <n v="415"/>
    <x v="472"/>
    <x v="0"/>
    <s v="Financial Analyst"/>
    <s v="Male"/>
    <n v="53"/>
    <n v="16322"/>
    <n v="2"/>
    <n v="4"/>
    <x v="1"/>
    <x v="0"/>
    <s v="Khaled Samir"/>
    <n v="195864"/>
    <x v="1"/>
    <x v="2"/>
    <x v="1"/>
  </r>
  <r>
    <n v="419"/>
    <x v="473"/>
    <x v="5"/>
    <s v="Software Engineer"/>
    <s v="Male"/>
    <n v="31"/>
    <n v="9882"/>
    <n v="2"/>
    <n v="2"/>
    <x v="1"/>
    <x v="0"/>
    <s v="Mona Ali"/>
    <n v="118584"/>
    <x v="0"/>
    <x v="2"/>
    <x v="0"/>
  </r>
  <r>
    <n v="422"/>
    <x v="350"/>
    <x v="4"/>
    <s v="Content Creator"/>
    <s v="Female"/>
    <n v="51"/>
    <n v="8022"/>
    <n v="2"/>
    <n v="5"/>
    <x v="0"/>
    <x v="0"/>
    <s v="Ahmed Hassan"/>
    <n v="96264"/>
    <x v="1"/>
    <x v="2"/>
    <x v="1"/>
  </r>
  <r>
    <n v="427"/>
    <x v="474"/>
    <x v="1"/>
    <s v="Operations Officer"/>
    <s v="Female"/>
    <n v="54"/>
    <n v="5001"/>
    <n v="2"/>
    <n v="1"/>
    <x v="1"/>
    <x v="2"/>
    <s v="Sara Adel"/>
    <n v="60012"/>
    <x v="1"/>
    <x v="2"/>
    <x v="0"/>
  </r>
  <r>
    <n v="432"/>
    <x v="475"/>
    <x v="2"/>
    <s v="Sales Executive"/>
    <s v="Male"/>
    <n v="48"/>
    <n v="11761"/>
    <n v="2"/>
    <n v="1"/>
    <x v="1"/>
    <x v="1"/>
    <s v="Sara Adel"/>
    <n v="141132"/>
    <x v="1"/>
    <x v="2"/>
    <x v="0"/>
  </r>
  <r>
    <n v="448"/>
    <x v="476"/>
    <x v="4"/>
    <s v="Marketing Specialist"/>
    <s v="Female"/>
    <n v="58"/>
    <n v="8705"/>
    <n v="1"/>
    <n v="1"/>
    <x v="0"/>
    <x v="0"/>
    <s v="Sara Adel"/>
    <n v="104460"/>
    <x v="1"/>
    <x v="2"/>
    <x v="0"/>
  </r>
  <r>
    <n v="450"/>
    <x v="477"/>
    <x v="4"/>
    <s v="Content Creator"/>
    <s v="Male"/>
    <n v="43"/>
    <n v="7808"/>
    <n v="1"/>
    <n v="5"/>
    <x v="1"/>
    <x v="1"/>
    <s v="Sara Adel"/>
    <n v="93696"/>
    <x v="0"/>
    <x v="2"/>
    <x v="1"/>
  </r>
  <r>
    <n v="451"/>
    <x v="478"/>
    <x v="5"/>
    <s v="Software Engineer"/>
    <s v="Male"/>
    <n v="56"/>
    <n v="12291"/>
    <n v="0"/>
    <n v="1"/>
    <x v="1"/>
    <x v="2"/>
    <s v="Mona Ali"/>
    <n v="147492"/>
    <x v="1"/>
    <x v="2"/>
    <x v="0"/>
  </r>
  <r>
    <n v="455"/>
    <x v="479"/>
    <x v="5"/>
    <s v="Data Analyst"/>
    <s v="Female"/>
    <n v="37"/>
    <n v="9928"/>
    <n v="2"/>
    <n v="5"/>
    <x v="1"/>
    <x v="1"/>
    <s v="Mona Ali"/>
    <n v="119136"/>
    <x v="0"/>
    <x v="2"/>
    <x v="1"/>
  </r>
  <r>
    <n v="460"/>
    <x v="480"/>
    <x v="4"/>
    <s v="Marketing Specialist"/>
    <s v="Male"/>
    <n v="27"/>
    <n v="15360"/>
    <n v="0"/>
    <n v="3"/>
    <x v="0"/>
    <x v="0"/>
    <s v="Sara Adel"/>
    <n v="184320"/>
    <x v="2"/>
    <x v="2"/>
    <x v="2"/>
  </r>
  <r>
    <n v="475"/>
    <x v="481"/>
    <x v="2"/>
    <s v="Sales Executive"/>
    <s v="Female"/>
    <n v="32"/>
    <n v="7233"/>
    <n v="1"/>
    <n v="5"/>
    <x v="0"/>
    <x v="0"/>
    <s v="Youssef Mahmoud"/>
    <n v="86796"/>
    <x v="0"/>
    <x v="2"/>
    <x v="1"/>
  </r>
  <r>
    <n v="480"/>
    <x v="482"/>
    <x v="2"/>
    <s v="Sales Manager"/>
    <s v="Male"/>
    <n v="50"/>
    <n v="7651"/>
    <n v="0"/>
    <n v="4"/>
    <x v="1"/>
    <x v="0"/>
    <s v="Khaled Samir"/>
    <n v="91812"/>
    <x v="1"/>
    <x v="2"/>
    <x v="1"/>
  </r>
  <r>
    <n v="497"/>
    <x v="483"/>
    <x v="3"/>
    <s v="HR Executive"/>
    <s v="Female"/>
    <n v="34"/>
    <n v="17738"/>
    <n v="0"/>
    <n v="4"/>
    <x v="1"/>
    <x v="1"/>
    <s v="Ahmed Hassan"/>
    <n v="212856"/>
    <x v="0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8">
  <location ref="A3:D11" firstHeaderRow="1" firstDataRow="2" firstDataCol="1"/>
  <pivotFields count="16">
    <pivotField dataField="1" numFmtId="1" showAll="0"/>
    <pivotField numFmtId="15" showAll="0"/>
    <pivotField axis="axisRow" showAll="0">
      <items count="7">
        <item x="0"/>
        <item x="3"/>
        <item x="5"/>
        <item x="4"/>
        <item x="1"/>
        <item x="2"/>
        <item t="default"/>
      </items>
    </pivotField>
    <pivotField showAll="0"/>
    <pivotField showAll="0"/>
    <pivotField numFmtId="1" showAll="0"/>
    <pivotField numFmtId="168" showAll="0"/>
    <pivotField numFmtId="1" showAll="0"/>
    <pivotField numFmtId="1" showAll="0"/>
    <pivotField axis="axisCol" showAll="0">
      <items count="3">
        <item x="0"/>
        <item x="1"/>
        <item t="default"/>
      </items>
    </pivotField>
    <pivotField showAll="0"/>
    <pivotField showAll="0"/>
    <pivotField numFmtId="168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EmployeeID" fld="0" subtotal="count" baseField="2" baseItem="0"/>
  </dataFields>
  <chartFormats count="4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8">
  <location ref="A3:B7" firstHeaderRow="1" firstDataRow="1" firstDataCol="1"/>
  <pivotFields count="16">
    <pivotField dataField="1" numFmtId="1" showAll="0"/>
    <pivotField numFmtId="15" showAll="0"/>
    <pivotField showAll="0"/>
    <pivotField showAll="0"/>
    <pivotField showAll="0"/>
    <pivotField numFmtId="1" showAll="0"/>
    <pivotField numFmtId="168" showAll="0"/>
    <pivotField numFmtId="1" showAll="0"/>
    <pivotField numFmtI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numFmtId="168"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showDataAs="percentOfTotal" baseField="10" baseItem="0" numFmtId="10"/>
  </dataField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3:B7" firstHeaderRow="1" firstDataRow="1" firstDataCol="1"/>
  <pivotFields count="16">
    <pivotField dataField="1" numFmtId="1" showAll="0"/>
    <pivotField numFmtId="15" showAll="0"/>
    <pivotField showAll="0"/>
    <pivotField showAll="0"/>
    <pivotField showAll="0"/>
    <pivotField numFmtId="1" showAll="0"/>
    <pivotField numFmtId="168" showAll="0"/>
    <pivotField numFmtId="1" showAll="0"/>
    <pivotField numFmtId="1" showAll="0"/>
    <pivotField showAll="0"/>
    <pivotField showAll="0"/>
    <pivotField showAll="0"/>
    <pivotField numFmtId="168"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ID" fld="0" subtotal="count" showDataAs="percentOfTotal" baseField="1" baseItem="401133896" numFmtId="10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3:B10" firstHeaderRow="1" firstDataRow="1" firstDataCol="1"/>
  <pivotFields count="16">
    <pivotField dataField="1" numFmtId="1" showAll="0"/>
    <pivotField numFmtId="15" showAll="0"/>
    <pivotField axis="axisRow" showAll="0">
      <items count="7">
        <item x="0"/>
        <item x="3"/>
        <item x="5"/>
        <item x="4"/>
        <item x="1"/>
        <item x="2"/>
        <item t="default"/>
      </items>
    </pivotField>
    <pivotField showAll="0"/>
    <pivotField showAll="0"/>
    <pivotField numFmtId="1" showAll="0"/>
    <pivotField numFmtId="168" showAll="0"/>
    <pivotField numFmtId="1" showAll="0"/>
    <pivotField numFmtId="1" showAll="0"/>
    <pivotField showAll="0"/>
    <pivotField showAll="0"/>
    <pivotField showAll="0"/>
    <pivotField numFmtId="168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ID" fld="0" subtotal="count" baseField="2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6">
  <location ref="A3:B10" firstHeaderRow="1" firstDataRow="1" firstDataCol="1"/>
  <pivotFields count="16">
    <pivotField numFmtId="1" showAll="0"/>
    <pivotField numFmtId="15" showAll="0"/>
    <pivotField axis="axisRow" showAll="0">
      <items count="7">
        <item x="0"/>
        <item x="3"/>
        <item x="5"/>
        <item x="4"/>
        <item x="1"/>
        <item x="2"/>
        <item t="default"/>
      </items>
    </pivotField>
    <pivotField showAll="0"/>
    <pivotField showAll="0"/>
    <pivotField numFmtId="1" showAll="0"/>
    <pivotField numFmtId="168" showAll="0"/>
    <pivotField numFmtId="1" showAll="0"/>
    <pivotField numFmtId="1" showAll="0"/>
    <pivotField showAll="0"/>
    <pivotField showAll="0"/>
    <pivotField showAll="0"/>
    <pivotField dataField="1" numFmtId="168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nnual Salary " fld="12" subtotal="average" baseField="2" baseItem="0" numFmtId="169"/>
  </dataFields>
  <chartFormats count="2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0:B14" firstHeaderRow="1" firstDataRow="1" firstDataCol="1"/>
  <pivotFields count="16">
    <pivotField numFmtId="1" showAll="0"/>
    <pivotField numFmtId="15" showAll="0"/>
    <pivotField showAll="0"/>
    <pivotField showAll="0"/>
    <pivotField showAll="0"/>
    <pivotField numFmtId="1" showAll="0"/>
    <pivotField numFmtId="168" showAll="0"/>
    <pivotField numFmtId="1" showAll="0"/>
    <pivotField numFmtId="1" showAll="0"/>
    <pivotField showAll="0"/>
    <pivotField showAll="0"/>
    <pivotField showAll="0"/>
    <pivotField numFmtId="168" showAll="0"/>
    <pivotField showAll="0">
      <items count="4">
        <item x="0"/>
        <item x="1"/>
        <item x="2"/>
        <item t="default"/>
      </items>
    </pivotField>
    <pivotField axis="axisRow" dataField="1" showAll="0">
      <items count="4">
        <item x="2"/>
        <item x="1"/>
        <item x="0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xperience Level" fld="14" subtotal="count" showDataAs="percentOfTotal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6:B9" firstHeaderRow="1" firstDataRow="1" firstDataCol="1"/>
  <pivotFields count="16">
    <pivotField numFmtId="1" showAll="0"/>
    <pivotField numFmtId="15" showAll="0"/>
    <pivotField showAll="0"/>
    <pivotField showAll="0"/>
    <pivotField showAll="0"/>
    <pivotField numFmtId="1" showAll="0"/>
    <pivotField numFmtId="168" showAll="0"/>
    <pivotField numFmtId="1" showAll="0"/>
    <pivotField numFmtId="1" showAll="0"/>
    <pivotField axis="axisRow" dataField="1" showAll="0">
      <items count="3">
        <item x="0"/>
        <item x="1"/>
        <item t="default"/>
      </items>
    </pivotField>
    <pivotField showAll="0"/>
    <pivotField showAll="0"/>
    <pivotField numFmtId="168" showAll="0"/>
    <pivotField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Overtime" fld="9" subtotal="count" showDataAs="percentOfTotal" baseField="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1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4" firstHeaderRow="0" firstDataRow="1" firstDataCol="0"/>
  <pivotFields count="16">
    <pivotField dataField="1" numFmtId="1" showAll="0"/>
    <pivotField numFmtId="15" showAll="0"/>
    <pivotField showAll="0"/>
    <pivotField showAll="0"/>
    <pivotField showAll="0"/>
    <pivotField numFmtId="1" showAll="0"/>
    <pivotField numFmtId="168" showAll="0"/>
    <pivotField numFmtId="1" showAll="0"/>
    <pivotField dataField="1" numFmtId="1" showAll="0"/>
    <pivotField showAll="0"/>
    <pivotField showAll="0"/>
    <pivotField showAll="0"/>
    <pivotField dataField="1" numFmtId="168"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eeID" fld="0" subtotal="count" baseField="1" baseItem="401133896"/>
    <dataField name="Average of Annual Salary " fld="12" subtotal="average" baseField="0" baseItem="1" numFmtId="169"/>
    <dataField name="Average of PerformanceRating" fld="8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P501" totalsRowShown="0" headerRowDxfId="17" dataDxfId="0">
  <autoFilter ref="A1:P501"/>
  <tableColumns count="16">
    <tableColumn id="1" name="EmployeeID" dataDxfId="16"/>
    <tableColumn id="2" name="HireDate" dataDxfId="15"/>
    <tableColumn id="3" name="Department" dataDxfId="14"/>
    <tableColumn id="4" name="JobRole" dataDxfId="13"/>
    <tableColumn id="5" name="Gender" dataDxfId="12"/>
    <tableColumn id="6" name="Age" dataDxfId="11"/>
    <tableColumn id="7" name="MonthlySalary" dataDxfId="10"/>
    <tableColumn id="8" name="YearsAtCompany" dataDxfId="9"/>
    <tableColumn id="9" name="PerformanceRating" dataDxfId="8"/>
    <tableColumn id="10" name="Overtime" dataDxfId="7"/>
    <tableColumn id="11" name="WorkLocation" dataDxfId="6"/>
    <tableColumn id="12" name="Manager" dataDxfId="5"/>
    <tableColumn id="13" name="Annual Salary " dataDxfId="4"/>
    <tableColumn id="14" name="Age Group" dataDxfId="3"/>
    <tableColumn id="15" name="Experience Level" dataDxfId="2"/>
    <tableColumn id="16" name="Preformance Categ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1"/>
  <sheetViews>
    <sheetView topLeftCell="C7" zoomScale="85" zoomScaleNormal="85" workbookViewId="0">
      <selection activeCell="J1" sqref="J1"/>
    </sheetView>
  </sheetViews>
  <sheetFormatPr defaultRowHeight="14.4" x14ac:dyDescent="0.3"/>
  <cols>
    <col min="1" max="1" width="13" customWidth="1"/>
    <col min="2" max="2" width="15.77734375" customWidth="1"/>
    <col min="3" max="3" width="15.109375" customWidth="1"/>
    <col min="4" max="4" width="29.44140625" customWidth="1"/>
    <col min="5" max="5" width="10.109375" customWidth="1"/>
    <col min="6" max="6" width="15.109375" customWidth="1"/>
    <col min="7" max="7" width="18.109375" customWidth="1"/>
    <col min="8" max="8" width="17.33203125" customWidth="1"/>
    <col min="9" max="9" width="19.109375" customWidth="1"/>
    <col min="10" max="10" width="10.6640625" customWidth="1"/>
    <col min="11" max="11" width="14.6640625" customWidth="1"/>
    <col min="12" max="12" width="16.21875" bestFit="1" customWidth="1"/>
    <col min="13" max="13" width="18" customWidth="1"/>
    <col min="14" max="14" width="13.44140625" customWidth="1"/>
    <col min="15" max="15" width="16.77734375" customWidth="1"/>
    <col min="16" max="16" width="21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2</v>
      </c>
      <c r="B2" s="3">
        <v>40596</v>
      </c>
      <c r="C2" s="4" t="s">
        <v>16</v>
      </c>
      <c r="D2" s="4" t="s">
        <v>17</v>
      </c>
      <c r="E2" s="4" t="s">
        <v>18</v>
      </c>
      <c r="F2" s="2">
        <v>36</v>
      </c>
      <c r="G2" s="5">
        <v>17387</v>
      </c>
      <c r="H2" s="2">
        <v>14</v>
      </c>
      <c r="I2" s="2">
        <v>2</v>
      </c>
      <c r="J2" s="4" t="s">
        <v>19</v>
      </c>
      <c r="K2" s="4" t="s">
        <v>20</v>
      </c>
      <c r="L2" s="4" t="s">
        <v>21</v>
      </c>
      <c r="M2" s="5">
        <v>208644</v>
      </c>
      <c r="N2" s="4" t="s">
        <v>22</v>
      </c>
      <c r="O2" s="4" t="s">
        <v>23</v>
      </c>
      <c r="P2" s="4" t="s">
        <v>24</v>
      </c>
    </row>
    <row r="3" spans="1:16" x14ac:dyDescent="0.3">
      <c r="A3" s="2">
        <v>8</v>
      </c>
      <c r="B3" s="3">
        <v>42430</v>
      </c>
      <c r="C3" s="4" t="s">
        <v>25</v>
      </c>
      <c r="D3" s="4" t="s">
        <v>26</v>
      </c>
      <c r="E3" s="4" t="s">
        <v>27</v>
      </c>
      <c r="F3" s="2">
        <v>51</v>
      </c>
      <c r="G3" s="5">
        <v>5927</v>
      </c>
      <c r="H3" s="2">
        <v>11</v>
      </c>
      <c r="I3" s="2">
        <v>2</v>
      </c>
      <c r="J3" s="4" t="s">
        <v>19</v>
      </c>
      <c r="K3" s="4" t="s">
        <v>28</v>
      </c>
      <c r="L3" s="4" t="s">
        <v>21</v>
      </c>
      <c r="M3" s="5">
        <v>71124</v>
      </c>
      <c r="N3" s="4" t="s">
        <v>29</v>
      </c>
      <c r="O3" s="4" t="s">
        <v>23</v>
      </c>
      <c r="P3" s="4" t="s">
        <v>24</v>
      </c>
    </row>
    <row r="4" spans="1:16" x14ac:dyDescent="0.3">
      <c r="A4" s="2">
        <v>12</v>
      </c>
      <c r="B4" s="3">
        <v>42114</v>
      </c>
      <c r="C4" s="4" t="s">
        <v>25</v>
      </c>
      <c r="D4" s="4" t="s">
        <v>30</v>
      </c>
      <c r="E4" s="4" t="s">
        <v>27</v>
      </c>
      <c r="F4" s="2">
        <v>24</v>
      </c>
      <c r="G4" s="5">
        <v>15012</v>
      </c>
      <c r="H4" s="2">
        <v>14</v>
      </c>
      <c r="I4" s="2">
        <v>1</v>
      </c>
      <c r="J4" s="4" t="s">
        <v>19</v>
      </c>
      <c r="K4" s="4" t="s">
        <v>20</v>
      </c>
      <c r="L4" s="4" t="s">
        <v>31</v>
      </c>
      <c r="M4" s="5">
        <v>180144</v>
      </c>
      <c r="N4" s="4" t="s">
        <v>32</v>
      </c>
      <c r="O4" s="4" t="s">
        <v>23</v>
      </c>
      <c r="P4" s="4" t="s">
        <v>24</v>
      </c>
    </row>
    <row r="5" spans="1:16" x14ac:dyDescent="0.3">
      <c r="A5" s="2">
        <v>16</v>
      </c>
      <c r="B5" s="3">
        <v>43652</v>
      </c>
      <c r="C5" s="4" t="s">
        <v>33</v>
      </c>
      <c r="D5" s="4" t="s">
        <v>34</v>
      </c>
      <c r="E5" s="4" t="s">
        <v>27</v>
      </c>
      <c r="F5" s="2">
        <v>43</v>
      </c>
      <c r="G5" s="5">
        <v>17648</v>
      </c>
      <c r="H5" s="2">
        <v>15</v>
      </c>
      <c r="I5" s="2">
        <v>1</v>
      </c>
      <c r="J5" s="4" t="s">
        <v>35</v>
      </c>
      <c r="K5" s="4" t="s">
        <v>36</v>
      </c>
      <c r="L5" s="4" t="s">
        <v>21</v>
      </c>
      <c r="M5" s="5">
        <v>211776</v>
      </c>
      <c r="N5" s="4" t="s">
        <v>22</v>
      </c>
      <c r="O5" s="4" t="s">
        <v>23</v>
      </c>
      <c r="P5" s="4" t="s">
        <v>24</v>
      </c>
    </row>
    <row r="6" spans="1:16" x14ac:dyDescent="0.3">
      <c r="A6" s="2">
        <v>17</v>
      </c>
      <c r="B6" s="3">
        <v>43924</v>
      </c>
      <c r="C6" s="4" t="s">
        <v>37</v>
      </c>
      <c r="D6" s="4" t="s">
        <v>38</v>
      </c>
      <c r="E6" s="4" t="s">
        <v>18</v>
      </c>
      <c r="F6" s="2">
        <v>41</v>
      </c>
      <c r="G6" s="5">
        <v>17695</v>
      </c>
      <c r="H6" s="2">
        <v>8</v>
      </c>
      <c r="I6" s="2">
        <v>1</v>
      </c>
      <c r="J6" s="4" t="s">
        <v>35</v>
      </c>
      <c r="K6" s="4" t="s">
        <v>28</v>
      </c>
      <c r="L6" s="4" t="s">
        <v>39</v>
      </c>
      <c r="M6" s="5">
        <v>212340</v>
      </c>
      <c r="N6" s="4" t="s">
        <v>22</v>
      </c>
      <c r="O6" s="4" t="s">
        <v>23</v>
      </c>
      <c r="P6" s="4" t="s">
        <v>24</v>
      </c>
    </row>
    <row r="7" spans="1:16" x14ac:dyDescent="0.3">
      <c r="A7" s="2">
        <v>19</v>
      </c>
      <c r="B7" s="3">
        <v>43332</v>
      </c>
      <c r="C7" s="4" t="s">
        <v>25</v>
      </c>
      <c r="D7" s="4" t="s">
        <v>30</v>
      </c>
      <c r="E7" s="4" t="s">
        <v>27</v>
      </c>
      <c r="F7" s="2">
        <v>56</v>
      </c>
      <c r="G7" s="5">
        <v>15214</v>
      </c>
      <c r="H7" s="2">
        <v>13</v>
      </c>
      <c r="I7" s="2">
        <v>2</v>
      </c>
      <c r="J7" s="4" t="s">
        <v>19</v>
      </c>
      <c r="K7" s="4" t="s">
        <v>20</v>
      </c>
      <c r="L7" s="4" t="s">
        <v>21</v>
      </c>
      <c r="M7" s="5">
        <v>182568</v>
      </c>
      <c r="N7" s="4" t="s">
        <v>29</v>
      </c>
      <c r="O7" s="4" t="s">
        <v>23</v>
      </c>
      <c r="P7" s="4" t="s">
        <v>24</v>
      </c>
    </row>
    <row r="8" spans="1:16" x14ac:dyDescent="0.3">
      <c r="A8" s="2">
        <v>50</v>
      </c>
      <c r="B8" s="3">
        <v>42226</v>
      </c>
      <c r="C8" s="4" t="s">
        <v>16</v>
      </c>
      <c r="D8" s="4" t="s">
        <v>40</v>
      </c>
      <c r="E8" s="4" t="s">
        <v>18</v>
      </c>
      <c r="F8" s="2">
        <v>57</v>
      </c>
      <c r="G8" s="5">
        <v>15419</v>
      </c>
      <c r="H8" s="2">
        <v>14</v>
      </c>
      <c r="I8" s="2">
        <v>1</v>
      </c>
      <c r="J8" s="4" t="s">
        <v>19</v>
      </c>
      <c r="K8" s="4" t="s">
        <v>28</v>
      </c>
      <c r="L8" s="4" t="s">
        <v>21</v>
      </c>
      <c r="M8" s="5">
        <v>185028</v>
      </c>
      <c r="N8" s="4" t="s">
        <v>29</v>
      </c>
      <c r="O8" s="4" t="s">
        <v>23</v>
      </c>
      <c r="P8" s="4" t="s">
        <v>24</v>
      </c>
    </row>
    <row r="9" spans="1:16" x14ac:dyDescent="0.3">
      <c r="A9" s="2">
        <v>52</v>
      </c>
      <c r="B9" s="3">
        <v>41615</v>
      </c>
      <c r="C9" s="4" t="s">
        <v>37</v>
      </c>
      <c r="D9" s="4" t="s">
        <v>41</v>
      </c>
      <c r="E9" s="4" t="s">
        <v>18</v>
      </c>
      <c r="F9" s="2">
        <v>33</v>
      </c>
      <c r="G9" s="5">
        <v>4153</v>
      </c>
      <c r="H9" s="2">
        <v>13</v>
      </c>
      <c r="I9" s="2">
        <v>1</v>
      </c>
      <c r="J9" s="4" t="s">
        <v>19</v>
      </c>
      <c r="K9" s="4" t="s">
        <v>28</v>
      </c>
      <c r="L9" s="4" t="s">
        <v>39</v>
      </c>
      <c r="M9" s="5">
        <v>49836</v>
      </c>
      <c r="N9" s="4" t="s">
        <v>22</v>
      </c>
      <c r="O9" s="4" t="s">
        <v>23</v>
      </c>
      <c r="P9" s="4" t="s">
        <v>24</v>
      </c>
    </row>
    <row r="10" spans="1:16" x14ac:dyDescent="0.3">
      <c r="A10" s="2">
        <v>58</v>
      </c>
      <c r="B10" s="3">
        <v>43831</v>
      </c>
      <c r="C10" s="4" t="s">
        <v>16</v>
      </c>
      <c r="D10" s="4" t="s">
        <v>40</v>
      </c>
      <c r="E10" s="4" t="s">
        <v>18</v>
      </c>
      <c r="F10" s="2">
        <v>22</v>
      </c>
      <c r="G10" s="5">
        <v>10715</v>
      </c>
      <c r="H10" s="2">
        <v>11</v>
      </c>
      <c r="I10" s="2">
        <v>2</v>
      </c>
      <c r="J10" s="4" t="s">
        <v>35</v>
      </c>
      <c r="K10" s="4" t="s">
        <v>36</v>
      </c>
      <c r="L10" s="4" t="s">
        <v>42</v>
      </c>
      <c r="M10" s="5">
        <v>128580</v>
      </c>
      <c r="N10" s="4" t="s">
        <v>32</v>
      </c>
      <c r="O10" s="4" t="s">
        <v>23</v>
      </c>
      <c r="P10" s="4" t="s">
        <v>24</v>
      </c>
    </row>
    <row r="11" spans="1:16" x14ac:dyDescent="0.3">
      <c r="A11" s="2">
        <v>59</v>
      </c>
      <c r="B11" s="3">
        <v>43202</v>
      </c>
      <c r="C11" s="4" t="s">
        <v>37</v>
      </c>
      <c r="D11" s="4" t="s">
        <v>41</v>
      </c>
      <c r="E11" s="4" t="s">
        <v>18</v>
      </c>
      <c r="F11" s="2">
        <v>45</v>
      </c>
      <c r="G11" s="5">
        <v>19436</v>
      </c>
      <c r="H11" s="2">
        <v>8</v>
      </c>
      <c r="I11" s="2">
        <v>1</v>
      </c>
      <c r="J11" s="4" t="s">
        <v>35</v>
      </c>
      <c r="K11" s="4" t="s">
        <v>36</v>
      </c>
      <c r="L11" s="4" t="s">
        <v>43</v>
      </c>
      <c r="M11" s="5">
        <v>233232</v>
      </c>
      <c r="N11" s="4" t="s">
        <v>22</v>
      </c>
      <c r="O11" s="4" t="s">
        <v>23</v>
      </c>
      <c r="P11" s="4" t="s">
        <v>24</v>
      </c>
    </row>
    <row r="12" spans="1:16" x14ac:dyDescent="0.3">
      <c r="A12" s="2">
        <v>68</v>
      </c>
      <c r="B12" s="3">
        <v>43667</v>
      </c>
      <c r="C12" s="4" t="s">
        <v>44</v>
      </c>
      <c r="D12" s="4" t="s">
        <v>45</v>
      </c>
      <c r="E12" s="4" t="s">
        <v>18</v>
      </c>
      <c r="F12" s="2">
        <v>34</v>
      </c>
      <c r="G12" s="5">
        <v>9058</v>
      </c>
      <c r="H12" s="2">
        <v>8</v>
      </c>
      <c r="I12" s="2">
        <v>1</v>
      </c>
      <c r="J12" s="4" t="s">
        <v>19</v>
      </c>
      <c r="K12" s="4" t="s">
        <v>36</v>
      </c>
      <c r="L12" s="4" t="s">
        <v>31</v>
      </c>
      <c r="M12" s="5">
        <v>108696</v>
      </c>
      <c r="N12" s="4" t="s">
        <v>22</v>
      </c>
      <c r="O12" s="4" t="s">
        <v>23</v>
      </c>
      <c r="P12" s="4" t="s">
        <v>24</v>
      </c>
    </row>
    <row r="13" spans="1:16" x14ac:dyDescent="0.3">
      <c r="A13" s="2">
        <v>74</v>
      </c>
      <c r="B13" s="3">
        <v>41422</v>
      </c>
      <c r="C13" s="4" t="s">
        <v>46</v>
      </c>
      <c r="D13" s="4" t="s">
        <v>47</v>
      </c>
      <c r="E13" s="4" t="s">
        <v>27</v>
      </c>
      <c r="F13" s="2">
        <v>57</v>
      </c>
      <c r="G13" s="5">
        <v>11608</v>
      </c>
      <c r="H13" s="2">
        <v>8</v>
      </c>
      <c r="I13" s="2">
        <v>2</v>
      </c>
      <c r="J13" s="4" t="s">
        <v>19</v>
      </c>
      <c r="K13" s="4" t="s">
        <v>20</v>
      </c>
      <c r="L13" s="4" t="s">
        <v>31</v>
      </c>
      <c r="M13" s="5">
        <v>139296</v>
      </c>
      <c r="N13" s="4" t="s">
        <v>29</v>
      </c>
      <c r="O13" s="4" t="s">
        <v>23</v>
      </c>
      <c r="P13" s="4" t="s">
        <v>24</v>
      </c>
    </row>
    <row r="14" spans="1:16" x14ac:dyDescent="0.3">
      <c r="A14" s="2">
        <v>85</v>
      </c>
      <c r="B14" s="3">
        <v>42270</v>
      </c>
      <c r="C14" s="4" t="s">
        <v>37</v>
      </c>
      <c r="D14" s="4" t="s">
        <v>41</v>
      </c>
      <c r="E14" s="4" t="s">
        <v>18</v>
      </c>
      <c r="F14" s="2">
        <v>35</v>
      </c>
      <c r="G14" s="5">
        <v>4009</v>
      </c>
      <c r="H14" s="2">
        <v>13</v>
      </c>
      <c r="I14" s="2">
        <v>1</v>
      </c>
      <c r="J14" s="4" t="s">
        <v>35</v>
      </c>
      <c r="K14" s="4" t="s">
        <v>36</v>
      </c>
      <c r="L14" s="4" t="s">
        <v>31</v>
      </c>
      <c r="M14" s="5">
        <v>48108</v>
      </c>
      <c r="N14" s="4" t="s">
        <v>22</v>
      </c>
      <c r="O14" s="4" t="s">
        <v>23</v>
      </c>
      <c r="P14" s="4" t="s">
        <v>24</v>
      </c>
    </row>
    <row r="15" spans="1:16" x14ac:dyDescent="0.3">
      <c r="A15" s="2">
        <v>87</v>
      </c>
      <c r="B15" s="3">
        <v>43589</v>
      </c>
      <c r="C15" s="4" t="s">
        <v>37</v>
      </c>
      <c r="D15" s="4" t="s">
        <v>41</v>
      </c>
      <c r="E15" s="4" t="s">
        <v>27</v>
      </c>
      <c r="F15" s="2">
        <v>27</v>
      </c>
      <c r="G15" s="5">
        <v>4572</v>
      </c>
      <c r="H15" s="2">
        <v>14</v>
      </c>
      <c r="I15" s="2">
        <v>2</v>
      </c>
      <c r="J15" s="4" t="s">
        <v>19</v>
      </c>
      <c r="K15" s="4" t="s">
        <v>20</v>
      </c>
      <c r="L15" s="4" t="s">
        <v>39</v>
      </c>
      <c r="M15" s="5">
        <v>54864</v>
      </c>
      <c r="N15" s="4" t="s">
        <v>32</v>
      </c>
      <c r="O15" s="4" t="s">
        <v>23</v>
      </c>
      <c r="P15" s="4" t="s">
        <v>24</v>
      </c>
    </row>
    <row r="16" spans="1:16" x14ac:dyDescent="0.3">
      <c r="A16" s="2">
        <v>95</v>
      </c>
      <c r="B16" s="3">
        <v>41130</v>
      </c>
      <c r="C16" s="4" t="s">
        <v>37</v>
      </c>
      <c r="D16" s="4" t="s">
        <v>38</v>
      </c>
      <c r="E16" s="4" t="s">
        <v>27</v>
      </c>
      <c r="F16" s="2">
        <v>56</v>
      </c>
      <c r="G16" s="5">
        <v>4304</v>
      </c>
      <c r="H16" s="2">
        <v>13</v>
      </c>
      <c r="I16" s="2">
        <v>1</v>
      </c>
      <c r="J16" s="4" t="s">
        <v>35</v>
      </c>
      <c r="K16" s="4" t="s">
        <v>28</v>
      </c>
      <c r="L16" s="4" t="s">
        <v>42</v>
      </c>
      <c r="M16" s="5">
        <v>51648</v>
      </c>
      <c r="N16" s="4" t="s">
        <v>29</v>
      </c>
      <c r="O16" s="4" t="s">
        <v>23</v>
      </c>
      <c r="P16" s="4" t="s">
        <v>24</v>
      </c>
    </row>
    <row r="17" spans="1:16" x14ac:dyDescent="0.3">
      <c r="A17" s="2">
        <v>96</v>
      </c>
      <c r="B17" s="3">
        <v>40313</v>
      </c>
      <c r="C17" s="4" t="s">
        <v>46</v>
      </c>
      <c r="D17" s="4" t="s">
        <v>48</v>
      </c>
      <c r="E17" s="4" t="s">
        <v>27</v>
      </c>
      <c r="F17" s="2">
        <v>33</v>
      </c>
      <c r="G17" s="5">
        <v>17893</v>
      </c>
      <c r="H17" s="2">
        <v>10</v>
      </c>
      <c r="I17" s="2">
        <v>2</v>
      </c>
      <c r="J17" s="4" t="s">
        <v>35</v>
      </c>
      <c r="K17" s="4" t="s">
        <v>36</v>
      </c>
      <c r="L17" s="4" t="s">
        <v>31</v>
      </c>
      <c r="M17" s="5">
        <v>214716</v>
      </c>
      <c r="N17" s="4" t="s">
        <v>22</v>
      </c>
      <c r="O17" s="4" t="s">
        <v>23</v>
      </c>
      <c r="P17" s="4" t="s">
        <v>24</v>
      </c>
    </row>
    <row r="18" spans="1:16" x14ac:dyDescent="0.3">
      <c r="A18" s="2">
        <v>103</v>
      </c>
      <c r="B18" s="3">
        <v>41051</v>
      </c>
      <c r="C18" s="4" t="s">
        <v>16</v>
      </c>
      <c r="D18" s="4" t="s">
        <v>40</v>
      </c>
      <c r="E18" s="4" t="s">
        <v>18</v>
      </c>
      <c r="F18" s="2">
        <v>56</v>
      </c>
      <c r="G18" s="5">
        <v>9092</v>
      </c>
      <c r="H18" s="2">
        <v>11</v>
      </c>
      <c r="I18" s="2">
        <v>2</v>
      </c>
      <c r="J18" s="4" t="s">
        <v>35</v>
      </c>
      <c r="K18" s="4" t="s">
        <v>36</v>
      </c>
      <c r="L18" s="4" t="s">
        <v>39</v>
      </c>
      <c r="M18" s="5">
        <v>109104</v>
      </c>
      <c r="N18" s="4" t="s">
        <v>29</v>
      </c>
      <c r="O18" s="4" t="s">
        <v>23</v>
      </c>
      <c r="P18" s="4" t="s">
        <v>24</v>
      </c>
    </row>
    <row r="19" spans="1:16" x14ac:dyDescent="0.3">
      <c r="A19" s="2">
        <v>112</v>
      </c>
      <c r="B19" s="3">
        <v>40642</v>
      </c>
      <c r="C19" s="4" t="s">
        <v>33</v>
      </c>
      <c r="D19" s="4" t="s">
        <v>34</v>
      </c>
      <c r="E19" s="4" t="s">
        <v>27</v>
      </c>
      <c r="F19" s="2">
        <v>43</v>
      </c>
      <c r="G19" s="5">
        <v>12957</v>
      </c>
      <c r="H19" s="2">
        <v>9</v>
      </c>
      <c r="I19" s="2">
        <v>2</v>
      </c>
      <c r="J19" s="4" t="s">
        <v>19</v>
      </c>
      <c r="K19" s="4" t="s">
        <v>36</v>
      </c>
      <c r="L19" s="4" t="s">
        <v>42</v>
      </c>
      <c r="M19" s="5">
        <v>155484</v>
      </c>
      <c r="N19" s="4" t="s">
        <v>22</v>
      </c>
      <c r="O19" s="4" t="s">
        <v>23</v>
      </c>
      <c r="P19" s="4" t="s">
        <v>24</v>
      </c>
    </row>
    <row r="20" spans="1:16" x14ac:dyDescent="0.3">
      <c r="A20" s="2">
        <v>114</v>
      </c>
      <c r="B20" s="3">
        <v>44607</v>
      </c>
      <c r="C20" s="4" t="s">
        <v>25</v>
      </c>
      <c r="D20" s="4" t="s">
        <v>26</v>
      </c>
      <c r="E20" s="4" t="s">
        <v>27</v>
      </c>
      <c r="F20" s="2">
        <v>44</v>
      </c>
      <c r="G20" s="5">
        <v>16327</v>
      </c>
      <c r="H20" s="2">
        <v>10</v>
      </c>
      <c r="I20" s="2">
        <v>2</v>
      </c>
      <c r="J20" s="4" t="s">
        <v>19</v>
      </c>
      <c r="K20" s="4" t="s">
        <v>28</v>
      </c>
      <c r="L20" s="4" t="s">
        <v>31</v>
      </c>
      <c r="M20" s="5">
        <v>195924</v>
      </c>
      <c r="N20" s="4" t="s">
        <v>22</v>
      </c>
      <c r="O20" s="4" t="s">
        <v>23</v>
      </c>
      <c r="P20" s="4" t="s">
        <v>24</v>
      </c>
    </row>
    <row r="21" spans="1:16" x14ac:dyDescent="0.3">
      <c r="A21" s="2">
        <v>127</v>
      </c>
      <c r="B21" s="3">
        <v>40223</v>
      </c>
      <c r="C21" s="4" t="s">
        <v>37</v>
      </c>
      <c r="D21" s="4" t="s">
        <v>41</v>
      </c>
      <c r="E21" s="4" t="s">
        <v>18</v>
      </c>
      <c r="F21" s="2">
        <v>37</v>
      </c>
      <c r="G21" s="5">
        <v>19206</v>
      </c>
      <c r="H21" s="2">
        <v>14</v>
      </c>
      <c r="I21" s="2">
        <v>2</v>
      </c>
      <c r="J21" s="4" t="s">
        <v>35</v>
      </c>
      <c r="K21" s="4" t="s">
        <v>36</v>
      </c>
      <c r="L21" s="4" t="s">
        <v>43</v>
      </c>
      <c r="M21" s="5">
        <v>230472</v>
      </c>
      <c r="N21" s="4" t="s">
        <v>22</v>
      </c>
      <c r="O21" s="4" t="s">
        <v>23</v>
      </c>
      <c r="P21" s="4" t="s">
        <v>24</v>
      </c>
    </row>
    <row r="22" spans="1:16" x14ac:dyDescent="0.3">
      <c r="A22" s="2">
        <v>129</v>
      </c>
      <c r="B22" s="3">
        <v>43027</v>
      </c>
      <c r="C22" s="4" t="s">
        <v>25</v>
      </c>
      <c r="D22" s="4" t="s">
        <v>26</v>
      </c>
      <c r="E22" s="4" t="s">
        <v>27</v>
      </c>
      <c r="F22" s="2">
        <v>52</v>
      </c>
      <c r="G22" s="5">
        <v>17976</v>
      </c>
      <c r="H22" s="2">
        <v>9</v>
      </c>
      <c r="I22" s="2">
        <v>1</v>
      </c>
      <c r="J22" s="4" t="s">
        <v>19</v>
      </c>
      <c r="K22" s="4" t="s">
        <v>28</v>
      </c>
      <c r="L22" s="4" t="s">
        <v>43</v>
      </c>
      <c r="M22" s="5">
        <v>215712</v>
      </c>
      <c r="N22" s="4" t="s">
        <v>29</v>
      </c>
      <c r="O22" s="4" t="s">
        <v>23</v>
      </c>
      <c r="P22" s="4" t="s">
        <v>24</v>
      </c>
    </row>
    <row r="23" spans="1:16" x14ac:dyDescent="0.3">
      <c r="A23" s="2">
        <v>132</v>
      </c>
      <c r="B23" s="3">
        <v>42258</v>
      </c>
      <c r="C23" s="4" t="s">
        <v>33</v>
      </c>
      <c r="D23" s="4" t="s">
        <v>49</v>
      </c>
      <c r="E23" s="4" t="s">
        <v>18</v>
      </c>
      <c r="F23" s="2">
        <v>59</v>
      </c>
      <c r="G23" s="5">
        <v>8160</v>
      </c>
      <c r="H23" s="2">
        <v>13</v>
      </c>
      <c r="I23" s="2">
        <v>1</v>
      </c>
      <c r="J23" s="4" t="s">
        <v>19</v>
      </c>
      <c r="K23" s="4" t="s">
        <v>20</v>
      </c>
      <c r="L23" s="4" t="s">
        <v>21</v>
      </c>
      <c r="M23" s="5">
        <v>97920</v>
      </c>
      <c r="N23" s="4" t="s">
        <v>29</v>
      </c>
      <c r="O23" s="4" t="s">
        <v>23</v>
      </c>
      <c r="P23" s="4" t="s">
        <v>24</v>
      </c>
    </row>
    <row r="24" spans="1:16" x14ac:dyDescent="0.3">
      <c r="A24" s="2">
        <v>138</v>
      </c>
      <c r="B24" s="3">
        <v>44143</v>
      </c>
      <c r="C24" s="4" t="s">
        <v>46</v>
      </c>
      <c r="D24" s="4" t="s">
        <v>47</v>
      </c>
      <c r="E24" s="4" t="s">
        <v>27</v>
      </c>
      <c r="F24" s="2">
        <v>57</v>
      </c>
      <c r="G24" s="5">
        <v>12768</v>
      </c>
      <c r="H24" s="2">
        <v>10</v>
      </c>
      <c r="I24" s="2">
        <v>1</v>
      </c>
      <c r="J24" s="4" t="s">
        <v>35</v>
      </c>
      <c r="K24" s="4" t="s">
        <v>28</v>
      </c>
      <c r="L24" s="4" t="s">
        <v>31</v>
      </c>
      <c r="M24" s="5">
        <v>153216</v>
      </c>
      <c r="N24" s="4" t="s">
        <v>29</v>
      </c>
      <c r="O24" s="4" t="s">
        <v>23</v>
      </c>
      <c r="P24" s="4" t="s">
        <v>24</v>
      </c>
    </row>
    <row r="25" spans="1:16" x14ac:dyDescent="0.3">
      <c r="A25" s="2">
        <v>140</v>
      </c>
      <c r="B25" s="3">
        <v>45056</v>
      </c>
      <c r="C25" s="4" t="s">
        <v>33</v>
      </c>
      <c r="D25" s="4" t="s">
        <v>34</v>
      </c>
      <c r="E25" s="4" t="s">
        <v>18</v>
      </c>
      <c r="F25" s="2">
        <v>31</v>
      </c>
      <c r="G25" s="5">
        <v>9724</v>
      </c>
      <c r="H25" s="2">
        <v>12</v>
      </c>
      <c r="I25" s="2">
        <v>2</v>
      </c>
      <c r="J25" s="4" t="s">
        <v>35</v>
      </c>
      <c r="K25" s="4" t="s">
        <v>20</v>
      </c>
      <c r="L25" s="4" t="s">
        <v>42</v>
      </c>
      <c r="M25" s="5">
        <v>116688</v>
      </c>
      <c r="N25" s="4" t="s">
        <v>22</v>
      </c>
      <c r="O25" s="4" t="s">
        <v>23</v>
      </c>
      <c r="P25" s="4" t="s">
        <v>24</v>
      </c>
    </row>
    <row r="26" spans="1:16" x14ac:dyDescent="0.3">
      <c r="A26" s="2">
        <v>141</v>
      </c>
      <c r="B26" s="3">
        <v>44391</v>
      </c>
      <c r="C26" s="4" t="s">
        <v>37</v>
      </c>
      <c r="D26" s="4" t="s">
        <v>41</v>
      </c>
      <c r="E26" s="4" t="s">
        <v>18</v>
      </c>
      <c r="F26" s="2">
        <v>36</v>
      </c>
      <c r="G26" s="5">
        <v>17483</v>
      </c>
      <c r="H26" s="2">
        <v>14</v>
      </c>
      <c r="I26" s="2">
        <v>2</v>
      </c>
      <c r="J26" s="4" t="s">
        <v>35</v>
      </c>
      <c r="K26" s="4" t="s">
        <v>28</v>
      </c>
      <c r="L26" s="4" t="s">
        <v>39</v>
      </c>
      <c r="M26" s="5">
        <v>209796</v>
      </c>
      <c r="N26" s="4" t="s">
        <v>22</v>
      </c>
      <c r="O26" s="4" t="s">
        <v>23</v>
      </c>
      <c r="P26" s="4" t="s">
        <v>24</v>
      </c>
    </row>
    <row r="27" spans="1:16" x14ac:dyDescent="0.3">
      <c r="A27" s="2">
        <v>142</v>
      </c>
      <c r="B27" s="3">
        <v>43568</v>
      </c>
      <c r="C27" s="4" t="s">
        <v>16</v>
      </c>
      <c r="D27" s="4" t="s">
        <v>40</v>
      </c>
      <c r="E27" s="4" t="s">
        <v>27</v>
      </c>
      <c r="F27" s="2">
        <v>56</v>
      </c>
      <c r="G27" s="5">
        <v>16902</v>
      </c>
      <c r="H27" s="2">
        <v>15</v>
      </c>
      <c r="I27" s="2">
        <v>1</v>
      </c>
      <c r="J27" s="4" t="s">
        <v>35</v>
      </c>
      <c r="K27" s="4" t="s">
        <v>36</v>
      </c>
      <c r="L27" s="4" t="s">
        <v>21</v>
      </c>
      <c r="M27" s="5">
        <v>202824</v>
      </c>
      <c r="N27" s="4" t="s">
        <v>29</v>
      </c>
      <c r="O27" s="4" t="s">
        <v>23</v>
      </c>
      <c r="P27" s="4" t="s">
        <v>24</v>
      </c>
    </row>
    <row r="28" spans="1:16" x14ac:dyDescent="0.3">
      <c r="A28" s="2">
        <v>144</v>
      </c>
      <c r="B28" s="3">
        <v>43864</v>
      </c>
      <c r="C28" s="4" t="s">
        <v>33</v>
      </c>
      <c r="D28" s="4" t="s">
        <v>49</v>
      </c>
      <c r="E28" s="4" t="s">
        <v>27</v>
      </c>
      <c r="F28" s="2">
        <v>24</v>
      </c>
      <c r="G28" s="5">
        <v>17264</v>
      </c>
      <c r="H28" s="2">
        <v>13</v>
      </c>
      <c r="I28" s="2">
        <v>2</v>
      </c>
      <c r="J28" s="4" t="s">
        <v>19</v>
      </c>
      <c r="K28" s="4" t="s">
        <v>36</v>
      </c>
      <c r="L28" s="4" t="s">
        <v>39</v>
      </c>
      <c r="M28" s="5">
        <v>207168</v>
      </c>
      <c r="N28" s="4" t="s">
        <v>32</v>
      </c>
      <c r="O28" s="4" t="s">
        <v>23</v>
      </c>
      <c r="P28" s="4" t="s">
        <v>24</v>
      </c>
    </row>
    <row r="29" spans="1:16" x14ac:dyDescent="0.3">
      <c r="A29" s="2">
        <v>146</v>
      </c>
      <c r="B29" s="3">
        <v>43506</v>
      </c>
      <c r="C29" s="4" t="s">
        <v>44</v>
      </c>
      <c r="D29" s="4" t="s">
        <v>50</v>
      </c>
      <c r="E29" s="4" t="s">
        <v>18</v>
      </c>
      <c r="F29" s="2">
        <v>49</v>
      </c>
      <c r="G29" s="5">
        <v>8500</v>
      </c>
      <c r="H29" s="2">
        <v>9</v>
      </c>
      <c r="I29" s="2">
        <v>1</v>
      </c>
      <c r="J29" s="4" t="s">
        <v>35</v>
      </c>
      <c r="K29" s="4" t="s">
        <v>36</v>
      </c>
      <c r="L29" s="4" t="s">
        <v>43</v>
      </c>
      <c r="M29" s="5">
        <v>102000</v>
      </c>
      <c r="N29" s="4" t="s">
        <v>29</v>
      </c>
      <c r="O29" s="4" t="s">
        <v>23</v>
      </c>
      <c r="P29" s="4" t="s">
        <v>24</v>
      </c>
    </row>
    <row r="30" spans="1:16" x14ac:dyDescent="0.3">
      <c r="A30" s="2">
        <v>154</v>
      </c>
      <c r="B30" s="3">
        <v>45041</v>
      </c>
      <c r="C30" s="4" t="s">
        <v>16</v>
      </c>
      <c r="D30" s="4" t="s">
        <v>40</v>
      </c>
      <c r="E30" s="4" t="s">
        <v>18</v>
      </c>
      <c r="F30" s="2">
        <v>47</v>
      </c>
      <c r="G30" s="5">
        <v>18330</v>
      </c>
      <c r="H30" s="2">
        <v>9</v>
      </c>
      <c r="I30" s="2">
        <v>1</v>
      </c>
      <c r="J30" s="4" t="s">
        <v>19</v>
      </c>
      <c r="K30" s="4" t="s">
        <v>36</v>
      </c>
      <c r="L30" s="4" t="s">
        <v>39</v>
      </c>
      <c r="M30" s="5">
        <v>219960</v>
      </c>
      <c r="N30" s="4" t="s">
        <v>29</v>
      </c>
      <c r="O30" s="4" t="s">
        <v>23</v>
      </c>
      <c r="P30" s="4" t="s">
        <v>24</v>
      </c>
    </row>
    <row r="31" spans="1:16" x14ac:dyDescent="0.3">
      <c r="A31" s="2">
        <v>156</v>
      </c>
      <c r="B31" s="3">
        <v>43392</v>
      </c>
      <c r="C31" s="4" t="s">
        <v>46</v>
      </c>
      <c r="D31" s="4" t="s">
        <v>51</v>
      </c>
      <c r="E31" s="4" t="s">
        <v>27</v>
      </c>
      <c r="F31" s="2">
        <v>45</v>
      </c>
      <c r="G31" s="5">
        <v>18789</v>
      </c>
      <c r="H31" s="2">
        <v>11</v>
      </c>
      <c r="I31" s="2">
        <v>1</v>
      </c>
      <c r="J31" s="4" t="s">
        <v>35</v>
      </c>
      <c r="K31" s="4" t="s">
        <v>36</v>
      </c>
      <c r="L31" s="4" t="s">
        <v>43</v>
      </c>
      <c r="M31" s="5">
        <v>225468</v>
      </c>
      <c r="N31" s="4" t="s">
        <v>22</v>
      </c>
      <c r="O31" s="4" t="s">
        <v>23</v>
      </c>
      <c r="P31" s="4" t="s">
        <v>24</v>
      </c>
    </row>
    <row r="32" spans="1:16" x14ac:dyDescent="0.3">
      <c r="A32" s="2">
        <v>167</v>
      </c>
      <c r="B32" s="3">
        <v>41058</v>
      </c>
      <c r="C32" s="4" t="s">
        <v>44</v>
      </c>
      <c r="D32" s="4" t="s">
        <v>45</v>
      </c>
      <c r="E32" s="4" t="s">
        <v>18</v>
      </c>
      <c r="F32" s="2">
        <v>27</v>
      </c>
      <c r="G32" s="5">
        <v>10884</v>
      </c>
      <c r="H32" s="2">
        <v>10</v>
      </c>
      <c r="I32" s="2">
        <v>2</v>
      </c>
      <c r="J32" s="4" t="s">
        <v>35</v>
      </c>
      <c r="K32" s="4" t="s">
        <v>20</v>
      </c>
      <c r="L32" s="4" t="s">
        <v>42</v>
      </c>
      <c r="M32" s="5">
        <v>130608</v>
      </c>
      <c r="N32" s="4" t="s">
        <v>32</v>
      </c>
      <c r="O32" s="4" t="s">
        <v>23</v>
      </c>
      <c r="P32" s="4" t="s">
        <v>24</v>
      </c>
    </row>
    <row r="33" spans="1:16" x14ac:dyDescent="0.3">
      <c r="A33" s="2">
        <v>169</v>
      </c>
      <c r="B33" s="3">
        <v>43528</v>
      </c>
      <c r="C33" s="4" t="s">
        <v>37</v>
      </c>
      <c r="D33" s="4" t="s">
        <v>41</v>
      </c>
      <c r="E33" s="4" t="s">
        <v>18</v>
      </c>
      <c r="F33" s="2">
        <v>42</v>
      </c>
      <c r="G33" s="5">
        <v>10497</v>
      </c>
      <c r="H33" s="2">
        <v>13</v>
      </c>
      <c r="I33" s="2">
        <v>2</v>
      </c>
      <c r="J33" s="4" t="s">
        <v>19</v>
      </c>
      <c r="K33" s="4" t="s">
        <v>36</v>
      </c>
      <c r="L33" s="4" t="s">
        <v>42</v>
      </c>
      <c r="M33" s="5">
        <v>125964</v>
      </c>
      <c r="N33" s="4" t="s">
        <v>22</v>
      </c>
      <c r="O33" s="4" t="s">
        <v>23</v>
      </c>
      <c r="P33" s="4" t="s">
        <v>24</v>
      </c>
    </row>
    <row r="34" spans="1:16" x14ac:dyDescent="0.3">
      <c r="A34" s="2">
        <v>170</v>
      </c>
      <c r="B34" s="3">
        <v>41798</v>
      </c>
      <c r="C34" s="4" t="s">
        <v>37</v>
      </c>
      <c r="D34" s="4" t="s">
        <v>38</v>
      </c>
      <c r="E34" s="4" t="s">
        <v>18</v>
      </c>
      <c r="F34" s="2">
        <v>28</v>
      </c>
      <c r="G34" s="5">
        <v>11704</v>
      </c>
      <c r="H34" s="2">
        <v>9</v>
      </c>
      <c r="I34" s="2">
        <v>2</v>
      </c>
      <c r="J34" s="4" t="s">
        <v>19</v>
      </c>
      <c r="K34" s="4" t="s">
        <v>20</v>
      </c>
      <c r="L34" s="4" t="s">
        <v>21</v>
      </c>
      <c r="M34" s="5">
        <v>140448</v>
      </c>
      <c r="N34" s="4" t="s">
        <v>32</v>
      </c>
      <c r="O34" s="4" t="s">
        <v>23</v>
      </c>
      <c r="P34" s="4" t="s">
        <v>24</v>
      </c>
    </row>
    <row r="35" spans="1:16" x14ac:dyDescent="0.3">
      <c r="A35" s="2">
        <v>175</v>
      </c>
      <c r="B35" s="3">
        <v>43633</v>
      </c>
      <c r="C35" s="4" t="s">
        <v>37</v>
      </c>
      <c r="D35" s="4" t="s">
        <v>41</v>
      </c>
      <c r="E35" s="4" t="s">
        <v>18</v>
      </c>
      <c r="F35" s="2">
        <v>25</v>
      </c>
      <c r="G35" s="5">
        <v>11884</v>
      </c>
      <c r="H35" s="2">
        <v>15</v>
      </c>
      <c r="I35" s="2">
        <v>2</v>
      </c>
      <c r="J35" s="4" t="s">
        <v>19</v>
      </c>
      <c r="K35" s="4" t="s">
        <v>36</v>
      </c>
      <c r="L35" s="4" t="s">
        <v>31</v>
      </c>
      <c r="M35" s="5">
        <v>142608</v>
      </c>
      <c r="N35" s="4" t="s">
        <v>32</v>
      </c>
      <c r="O35" s="4" t="s">
        <v>23</v>
      </c>
      <c r="P35" s="4" t="s">
        <v>24</v>
      </c>
    </row>
    <row r="36" spans="1:16" x14ac:dyDescent="0.3">
      <c r="A36" s="2">
        <v>189</v>
      </c>
      <c r="B36" s="3">
        <v>43768</v>
      </c>
      <c r="C36" s="4" t="s">
        <v>33</v>
      </c>
      <c r="D36" s="4" t="s">
        <v>34</v>
      </c>
      <c r="E36" s="4" t="s">
        <v>27</v>
      </c>
      <c r="F36" s="2">
        <v>33</v>
      </c>
      <c r="G36" s="5">
        <v>12249</v>
      </c>
      <c r="H36" s="2">
        <v>9</v>
      </c>
      <c r="I36" s="2">
        <v>2</v>
      </c>
      <c r="J36" s="4" t="s">
        <v>35</v>
      </c>
      <c r="K36" s="4" t="s">
        <v>20</v>
      </c>
      <c r="L36" s="4" t="s">
        <v>43</v>
      </c>
      <c r="M36" s="5">
        <v>146988</v>
      </c>
      <c r="N36" s="4" t="s">
        <v>22</v>
      </c>
      <c r="O36" s="4" t="s">
        <v>23</v>
      </c>
      <c r="P36" s="4" t="s">
        <v>24</v>
      </c>
    </row>
    <row r="37" spans="1:16" x14ac:dyDescent="0.3">
      <c r="A37" s="2">
        <v>192</v>
      </c>
      <c r="B37" s="3">
        <v>43348</v>
      </c>
      <c r="C37" s="4" t="s">
        <v>33</v>
      </c>
      <c r="D37" s="4" t="s">
        <v>34</v>
      </c>
      <c r="E37" s="4" t="s">
        <v>18</v>
      </c>
      <c r="F37" s="2">
        <v>31</v>
      </c>
      <c r="G37" s="5">
        <v>8902</v>
      </c>
      <c r="H37" s="2">
        <v>8</v>
      </c>
      <c r="I37" s="2">
        <v>1</v>
      </c>
      <c r="J37" s="4" t="s">
        <v>35</v>
      </c>
      <c r="K37" s="4" t="s">
        <v>36</v>
      </c>
      <c r="L37" s="4" t="s">
        <v>21</v>
      </c>
      <c r="M37" s="5">
        <v>106824</v>
      </c>
      <c r="N37" s="4" t="s">
        <v>22</v>
      </c>
      <c r="O37" s="4" t="s">
        <v>23</v>
      </c>
      <c r="P37" s="4" t="s">
        <v>24</v>
      </c>
    </row>
    <row r="38" spans="1:16" x14ac:dyDescent="0.3">
      <c r="A38" s="2">
        <v>203</v>
      </c>
      <c r="B38" s="3">
        <v>44768</v>
      </c>
      <c r="C38" s="4" t="s">
        <v>44</v>
      </c>
      <c r="D38" s="4" t="s">
        <v>45</v>
      </c>
      <c r="E38" s="4" t="s">
        <v>27</v>
      </c>
      <c r="F38" s="2">
        <v>53</v>
      </c>
      <c r="G38" s="5">
        <v>19577</v>
      </c>
      <c r="H38" s="2">
        <v>12</v>
      </c>
      <c r="I38" s="2">
        <v>2</v>
      </c>
      <c r="J38" s="4" t="s">
        <v>35</v>
      </c>
      <c r="K38" s="4" t="s">
        <v>36</v>
      </c>
      <c r="L38" s="4" t="s">
        <v>39</v>
      </c>
      <c r="M38" s="5">
        <v>234924</v>
      </c>
      <c r="N38" s="4" t="s">
        <v>29</v>
      </c>
      <c r="O38" s="4" t="s">
        <v>23</v>
      </c>
      <c r="P38" s="4" t="s">
        <v>24</v>
      </c>
    </row>
    <row r="39" spans="1:16" x14ac:dyDescent="0.3">
      <c r="A39" s="2">
        <v>212</v>
      </c>
      <c r="B39" s="3">
        <v>42912</v>
      </c>
      <c r="C39" s="4" t="s">
        <v>46</v>
      </c>
      <c r="D39" s="4" t="s">
        <v>48</v>
      </c>
      <c r="E39" s="4" t="s">
        <v>27</v>
      </c>
      <c r="F39" s="2">
        <v>52</v>
      </c>
      <c r="G39" s="5">
        <v>4663</v>
      </c>
      <c r="H39" s="2">
        <v>11</v>
      </c>
      <c r="I39" s="2">
        <v>2</v>
      </c>
      <c r="J39" s="4" t="s">
        <v>19</v>
      </c>
      <c r="K39" s="4" t="s">
        <v>28</v>
      </c>
      <c r="L39" s="4" t="s">
        <v>43</v>
      </c>
      <c r="M39" s="5">
        <v>55956</v>
      </c>
      <c r="N39" s="4" t="s">
        <v>29</v>
      </c>
      <c r="O39" s="4" t="s">
        <v>23</v>
      </c>
      <c r="P39" s="4" t="s">
        <v>24</v>
      </c>
    </row>
    <row r="40" spans="1:16" x14ac:dyDescent="0.3">
      <c r="A40" s="2">
        <v>213</v>
      </c>
      <c r="B40" s="3">
        <v>40636</v>
      </c>
      <c r="C40" s="4" t="s">
        <v>25</v>
      </c>
      <c r="D40" s="4" t="s">
        <v>26</v>
      </c>
      <c r="E40" s="4" t="s">
        <v>27</v>
      </c>
      <c r="F40" s="2">
        <v>55</v>
      </c>
      <c r="G40" s="5">
        <v>9900</v>
      </c>
      <c r="H40" s="2">
        <v>8</v>
      </c>
      <c r="I40" s="2">
        <v>2</v>
      </c>
      <c r="J40" s="4" t="s">
        <v>19</v>
      </c>
      <c r="K40" s="4" t="s">
        <v>20</v>
      </c>
      <c r="L40" s="4" t="s">
        <v>39</v>
      </c>
      <c r="M40" s="5">
        <v>118800</v>
      </c>
      <c r="N40" s="4" t="s">
        <v>29</v>
      </c>
      <c r="O40" s="4" t="s">
        <v>23</v>
      </c>
      <c r="P40" s="4" t="s">
        <v>24</v>
      </c>
    </row>
    <row r="41" spans="1:16" x14ac:dyDescent="0.3">
      <c r="A41" s="2">
        <v>221</v>
      </c>
      <c r="B41" s="3">
        <v>41122</v>
      </c>
      <c r="C41" s="4" t="s">
        <v>44</v>
      </c>
      <c r="D41" s="4" t="s">
        <v>45</v>
      </c>
      <c r="E41" s="4" t="s">
        <v>18</v>
      </c>
      <c r="F41" s="2">
        <v>47</v>
      </c>
      <c r="G41" s="5">
        <v>6945</v>
      </c>
      <c r="H41" s="2">
        <v>13</v>
      </c>
      <c r="I41" s="2">
        <v>1</v>
      </c>
      <c r="J41" s="4" t="s">
        <v>35</v>
      </c>
      <c r="K41" s="4" t="s">
        <v>28</v>
      </c>
      <c r="L41" s="4" t="s">
        <v>39</v>
      </c>
      <c r="M41" s="5">
        <v>83340</v>
      </c>
      <c r="N41" s="4" t="s">
        <v>29</v>
      </c>
      <c r="O41" s="4" t="s">
        <v>23</v>
      </c>
      <c r="P41" s="4" t="s">
        <v>24</v>
      </c>
    </row>
    <row r="42" spans="1:16" x14ac:dyDescent="0.3">
      <c r="A42" s="2">
        <v>223</v>
      </c>
      <c r="B42" s="3">
        <v>40235</v>
      </c>
      <c r="C42" s="4" t="s">
        <v>16</v>
      </c>
      <c r="D42" s="4" t="s">
        <v>40</v>
      </c>
      <c r="E42" s="4" t="s">
        <v>27</v>
      </c>
      <c r="F42" s="2">
        <v>29</v>
      </c>
      <c r="G42" s="5">
        <v>17528</v>
      </c>
      <c r="H42" s="2">
        <v>10</v>
      </c>
      <c r="I42" s="2">
        <v>2</v>
      </c>
      <c r="J42" s="4" t="s">
        <v>19</v>
      </c>
      <c r="K42" s="4" t="s">
        <v>20</v>
      </c>
      <c r="L42" s="4" t="s">
        <v>43</v>
      </c>
      <c r="M42" s="5">
        <v>210336</v>
      </c>
      <c r="N42" s="4" t="s">
        <v>32</v>
      </c>
      <c r="O42" s="4" t="s">
        <v>23</v>
      </c>
      <c r="P42" s="4" t="s">
        <v>24</v>
      </c>
    </row>
    <row r="43" spans="1:16" x14ac:dyDescent="0.3">
      <c r="A43" s="2">
        <v>227</v>
      </c>
      <c r="B43" s="3">
        <v>43737</v>
      </c>
      <c r="C43" s="4" t="s">
        <v>16</v>
      </c>
      <c r="D43" s="4" t="s">
        <v>40</v>
      </c>
      <c r="E43" s="4" t="s">
        <v>27</v>
      </c>
      <c r="F43" s="2">
        <v>22</v>
      </c>
      <c r="G43" s="5">
        <v>12887</v>
      </c>
      <c r="H43" s="2">
        <v>12</v>
      </c>
      <c r="I43" s="2">
        <v>2</v>
      </c>
      <c r="J43" s="4" t="s">
        <v>19</v>
      </c>
      <c r="K43" s="4" t="s">
        <v>20</v>
      </c>
      <c r="L43" s="4" t="s">
        <v>21</v>
      </c>
      <c r="M43" s="5">
        <v>154644</v>
      </c>
      <c r="N43" s="4" t="s">
        <v>32</v>
      </c>
      <c r="O43" s="4" t="s">
        <v>23</v>
      </c>
      <c r="P43" s="4" t="s">
        <v>24</v>
      </c>
    </row>
    <row r="44" spans="1:16" x14ac:dyDescent="0.3">
      <c r="A44" s="2">
        <v>232</v>
      </c>
      <c r="B44" s="3">
        <v>42490</v>
      </c>
      <c r="C44" s="4" t="s">
        <v>25</v>
      </c>
      <c r="D44" s="4" t="s">
        <v>30</v>
      </c>
      <c r="E44" s="4" t="s">
        <v>18</v>
      </c>
      <c r="F44" s="2">
        <v>60</v>
      </c>
      <c r="G44" s="5">
        <v>15901</v>
      </c>
      <c r="H44" s="2">
        <v>11</v>
      </c>
      <c r="I44" s="2">
        <v>2</v>
      </c>
      <c r="J44" s="4" t="s">
        <v>19</v>
      </c>
      <c r="K44" s="4" t="s">
        <v>28</v>
      </c>
      <c r="L44" s="4" t="s">
        <v>43</v>
      </c>
      <c r="M44" s="5">
        <v>190812</v>
      </c>
      <c r="N44" s="4" t="s">
        <v>29</v>
      </c>
      <c r="O44" s="4" t="s">
        <v>23</v>
      </c>
      <c r="P44" s="4" t="s">
        <v>24</v>
      </c>
    </row>
    <row r="45" spans="1:16" x14ac:dyDescent="0.3">
      <c r="A45" s="2">
        <v>234</v>
      </c>
      <c r="B45" s="3">
        <v>40481</v>
      </c>
      <c r="C45" s="4" t="s">
        <v>44</v>
      </c>
      <c r="D45" s="4" t="s">
        <v>45</v>
      </c>
      <c r="E45" s="4" t="s">
        <v>18</v>
      </c>
      <c r="F45" s="2">
        <v>44</v>
      </c>
      <c r="G45" s="5">
        <v>19664</v>
      </c>
      <c r="H45" s="2">
        <v>14</v>
      </c>
      <c r="I45" s="2">
        <v>2</v>
      </c>
      <c r="J45" s="4" t="s">
        <v>35</v>
      </c>
      <c r="K45" s="4" t="s">
        <v>28</v>
      </c>
      <c r="L45" s="4" t="s">
        <v>43</v>
      </c>
      <c r="M45" s="5">
        <v>235968</v>
      </c>
      <c r="N45" s="4" t="s">
        <v>22</v>
      </c>
      <c r="O45" s="4" t="s">
        <v>23</v>
      </c>
      <c r="P45" s="4" t="s">
        <v>24</v>
      </c>
    </row>
    <row r="46" spans="1:16" x14ac:dyDescent="0.3">
      <c r="A46" s="2">
        <v>235</v>
      </c>
      <c r="B46" s="3">
        <v>44429</v>
      </c>
      <c r="C46" s="4" t="s">
        <v>33</v>
      </c>
      <c r="D46" s="4" t="s">
        <v>49</v>
      </c>
      <c r="E46" s="4" t="s">
        <v>27</v>
      </c>
      <c r="F46" s="2">
        <v>50</v>
      </c>
      <c r="G46" s="5">
        <v>14741</v>
      </c>
      <c r="H46" s="2">
        <v>8</v>
      </c>
      <c r="I46" s="2">
        <v>2</v>
      </c>
      <c r="J46" s="4" t="s">
        <v>35</v>
      </c>
      <c r="K46" s="4" t="s">
        <v>20</v>
      </c>
      <c r="L46" s="4" t="s">
        <v>31</v>
      </c>
      <c r="M46" s="5">
        <v>176892</v>
      </c>
      <c r="N46" s="4" t="s">
        <v>29</v>
      </c>
      <c r="O46" s="4" t="s">
        <v>23</v>
      </c>
      <c r="P46" s="4" t="s">
        <v>24</v>
      </c>
    </row>
    <row r="47" spans="1:16" x14ac:dyDescent="0.3">
      <c r="A47" s="2">
        <v>236</v>
      </c>
      <c r="B47" s="3">
        <v>45146</v>
      </c>
      <c r="C47" s="4" t="s">
        <v>37</v>
      </c>
      <c r="D47" s="4" t="s">
        <v>41</v>
      </c>
      <c r="E47" s="4" t="s">
        <v>27</v>
      </c>
      <c r="F47" s="2">
        <v>51</v>
      </c>
      <c r="G47" s="5">
        <v>19639</v>
      </c>
      <c r="H47" s="2">
        <v>12</v>
      </c>
      <c r="I47" s="2">
        <v>1</v>
      </c>
      <c r="J47" s="4" t="s">
        <v>35</v>
      </c>
      <c r="K47" s="4" t="s">
        <v>36</v>
      </c>
      <c r="L47" s="4" t="s">
        <v>21</v>
      </c>
      <c r="M47" s="5">
        <v>235668</v>
      </c>
      <c r="N47" s="4" t="s">
        <v>29</v>
      </c>
      <c r="O47" s="4" t="s">
        <v>23</v>
      </c>
      <c r="P47" s="4" t="s">
        <v>24</v>
      </c>
    </row>
    <row r="48" spans="1:16" x14ac:dyDescent="0.3">
      <c r="A48" s="2">
        <v>238</v>
      </c>
      <c r="B48" s="3">
        <v>41413</v>
      </c>
      <c r="C48" s="4" t="s">
        <v>44</v>
      </c>
      <c r="D48" s="4" t="s">
        <v>50</v>
      </c>
      <c r="E48" s="4" t="s">
        <v>18</v>
      </c>
      <c r="F48" s="2">
        <v>33</v>
      </c>
      <c r="G48" s="5">
        <v>8996</v>
      </c>
      <c r="H48" s="2">
        <v>14</v>
      </c>
      <c r="I48" s="2">
        <v>2</v>
      </c>
      <c r="J48" s="4" t="s">
        <v>19</v>
      </c>
      <c r="K48" s="4" t="s">
        <v>28</v>
      </c>
      <c r="L48" s="4" t="s">
        <v>31</v>
      </c>
      <c r="M48" s="5">
        <v>107952</v>
      </c>
      <c r="N48" s="4" t="s">
        <v>22</v>
      </c>
      <c r="O48" s="4" t="s">
        <v>23</v>
      </c>
      <c r="P48" s="4" t="s">
        <v>24</v>
      </c>
    </row>
    <row r="49" spans="1:16" x14ac:dyDescent="0.3">
      <c r="A49" s="2">
        <v>239</v>
      </c>
      <c r="B49" s="3">
        <v>41753</v>
      </c>
      <c r="C49" s="4" t="s">
        <v>16</v>
      </c>
      <c r="D49" s="4" t="s">
        <v>40</v>
      </c>
      <c r="E49" s="4" t="s">
        <v>27</v>
      </c>
      <c r="F49" s="2">
        <v>30</v>
      </c>
      <c r="G49" s="5">
        <v>7930</v>
      </c>
      <c r="H49" s="2">
        <v>9</v>
      </c>
      <c r="I49" s="2">
        <v>1</v>
      </c>
      <c r="J49" s="4" t="s">
        <v>35</v>
      </c>
      <c r="K49" s="4" t="s">
        <v>28</v>
      </c>
      <c r="L49" s="4" t="s">
        <v>39</v>
      </c>
      <c r="M49" s="5">
        <v>95160</v>
      </c>
      <c r="N49" s="4" t="s">
        <v>22</v>
      </c>
      <c r="O49" s="4" t="s">
        <v>23</v>
      </c>
      <c r="P49" s="4" t="s">
        <v>24</v>
      </c>
    </row>
    <row r="50" spans="1:16" x14ac:dyDescent="0.3">
      <c r="A50" s="2">
        <v>261</v>
      </c>
      <c r="B50" s="3">
        <v>42712</v>
      </c>
      <c r="C50" s="4" t="s">
        <v>46</v>
      </c>
      <c r="D50" s="4" t="s">
        <v>51</v>
      </c>
      <c r="E50" s="4" t="s">
        <v>27</v>
      </c>
      <c r="F50" s="2">
        <v>35</v>
      </c>
      <c r="G50" s="5">
        <v>8266</v>
      </c>
      <c r="H50" s="2">
        <v>13</v>
      </c>
      <c r="I50" s="2">
        <v>2</v>
      </c>
      <c r="J50" s="4" t="s">
        <v>19</v>
      </c>
      <c r="K50" s="4" t="s">
        <v>36</v>
      </c>
      <c r="L50" s="4" t="s">
        <v>39</v>
      </c>
      <c r="M50" s="5">
        <v>99192</v>
      </c>
      <c r="N50" s="4" t="s">
        <v>22</v>
      </c>
      <c r="O50" s="4" t="s">
        <v>23</v>
      </c>
      <c r="P50" s="4" t="s">
        <v>24</v>
      </c>
    </row>
    <row r="51" spans="1:16" x14ac:dyDescent="0.3">
      <c r="A51" s="2">
        <v>264</v>
      </c>
      <c r="B51" s="3">
        <v>43705</v>
      </c>
      <c r="C51" s="4" t="s">
        <v>33</v>
      </c>
      <c r="D51" s="4" t="s">
        <v>34</v>
      </c>
      <c r="E51" s="4" t="s">
        <v>27</v>
      </c>
      <c r="F51" s="2">
        <v>33</v>
      </c>
      <c r="G51" s="5">
        <v>12343</v>
      </c>
      <c r="H51" s="2">
        <v>10</v>
      </c>
      <c r="I51" s="2">
        <v>1</v>
      </c>
      <c r="J51" s="4" t="s">
        <v>19</v>
      </c>
      <c r="K51" s="4" t="s">
        <v>36</v>
      </c>
      <c r="L51" s="4" t="s">
        <v>39</v>
      </c>
      <c r="M51" s="5">
        <v>148116</v>
      </c>
      <c r="N51" s="4" t="s">
        <v>22</v>
      </c>
      <c r="O51" s="4" t="s">
        <v>23</v>
      </c>
      <c r="P51" s="4" t="s">
        <v>24</v>
      </c>
    </row>
    <row r="52" spans="1:16" x14ac:dyDescent="0.3">
      <c r="A52" s="2">
        <v>265</v>
      </c>
      <c r="B52" s="3">
        <v>42131</v>
      </c>
      <c r="C52" s="4" t="s">
        <v>33</v>
      </c>
      <c r="D52" s="4" t="s">
        <v>49</v>
      </c>
      <c r="E52" s="4" t="s">
        <v>18</v>
      </c>
      <c r="F52" s="2">
        <v>22</v>
      </c>
      <c r="G52" s="5">
        <v>8190</v>
      </c>
      <c r="H52" s="2">
        <v>14</v>
      </c>
      <c r="I52" s="2">
        <v>2</v>
      </c>
      <c r="J52" s="4" t="s">
        <v>35</v>
      </c>
      <c r="K52" s="4" t="s">
        <v>36</v>
      </c>
      <c r="L52" s="4" t="s">
        <v>39</v>
      </c>
      <c r="M52" s="5">
        <v>98280</v>
      </c>
      <c r="N52" s="4" t="s">
        <v>32</v>
      </c>
      <c r="O52" s="4" t="s">
        <v>23</v>
      </c>
      <c r="P52" s="4" t="s">
        <v>24</v>
      </c>
    </row>
    <row r="53" spans="1:16" x14ac:dyDescent="0.3">
      <c r="A53" s="2">
        <v>267</v>
      </c>
      <c r="B53" s="3">
        <v>40508</v>
      </c>
      <c r="C53" s="4" t="s">
        <v>37</v>
      </c>
      <c r="D53" s="4" t="s">
        <v>38</v>
      </c>
      <c r="E53" s="4" t="s">
        <v>27</v>
      </c>
      <c r="F53" s="2">
        <v>56</v>
      </c>
      <c r="G53" s="5">
        <v>8323</v>
      </c>
      <c r="H53" s="2">
        <v>9</v>
      </c>
      <c r="I53" s="2">
        <v>2</v>
      </c>
      <c r="J53" s="4" t="s">
        <v>35</v>
      </c>
      <c r="K53" s="4" t="s">
        <v>28</v>
      </c>
      <c r="L53" s="4" t="s">
        <v>43</v>
      </c>
      <c r="M53" s="5">
        <v>99876</v>
      </c>
      <c r="N53" s="4" t="s">
        <v>29</v>
      </c>
      <c r="O53" s="4" t="s">
        <v>23</v>
      </c>
      <c r="P53" s="4" t="s">
        <v>24</v>
      </c>
    </row>
    <row r="54" spans="1:16" x14ac:dyDescent="0.3">
      <c r="A54" s="2">
        <v>268</v>
      </c>
      <c r="B54" s="3">
        <v>44566</v>
      </c>
      <c r="C54" s="4" t="s">
        <v>16</v>
      </c>
      <c r="D54" s="4" t="s">
        <v>17</v>
      </c>
      <c r="E54" s="4" t="s">
        <v>18</v>
      </c>
      <c r="F54" s="2">
        <v>50</v>
      </c>
      <c r="G54" s="5">
        <v>14506</v>
      </c>
      <c r="H54" s="2">
        <v>15</v>
      </c>
      <c r="I54" s="2">
        <v>1</v>
      </c>
      <c r="J54" s="4" t="s">
        <v>19</v>
      </c>
      <c r="K54" s="4" t="s">
        <v>20</v>
      </c>
      <c r="L54" s="4" t="s">
        <v>43</v>
      </c>
      <c r="M54" s="5">
        <v>174072</v>
      </c>
      <c r="N54" s="4" t="s">
        <v>29</v>
      </c>
      <c r="O54" s="4" t="s">
        <v>23</v>
      </c>
      <c r="P54" s="4" t="s">
        <v>24</v>
      </c>
    </row>
    <row r="55" spans="1:16" x14ac:dyDescent="0.3">
      <c r="A55" s="2">
        <v>271</v>
      </c>
      <c r="B55" s="3">
        <v>41584</v>
      </c>
      <c r="C55" s="4" t="s">
        <v>33</v>
      </c>
      <c r="D55" s="4" t="s">
        <v>34</v>
      </c>
      <c r="E55" s="4" t="s">
        <v>27</v>
      </c>
      <c r="F55" s="2">
        <v>32</v>
      </c>
      <c r="G55" s="5">
        <v>6577</v>
      </c>
      <c r="H55" s="2">
        <v>12</v>
      </c>
      <c r="I55" s="2">
        <v>1</v>
      </c>
      <c r="J55" s="4" t="s">
        <v>35</v>
      </c>
      <c r="K55" s="4" t="s">
        <v>36</v>
      </c>
      <c r="L55" s="4" t="s">
        <v>21</v>
      </c>
      <c r="M55" s="5">
        <v>78924</v>
      </c>
      <c r="N55" s="4" t="s">
        <v>22</v>
      </c>
      <c r="O55" s="4" t="s">
        <v>23</v>
      </c>
      <c r="P55" s="4" t="s">
        <v>24</v>
      </c>
    </row>
    <row r="56" spans="1:16" x14ac:dyDescent="0.3">
      <c r="A56" s="2">
        <v>272</v>
      </c>
      <c r="B56" s="3">
        <v>41363</v>
      </c>
      <c r="C56" s="4" t="s">
        <v>16</v>
      </c>
      <c r="D56" s="4" t="s">
        <v>17</v>
      </c>
      <c r="E56" s="4" t="s">
        <v>18</v>
      </c>
      <c r="F56" s="2">
        <v>51</v>
      </c>
      <c r="G56" s="5">
        <v>17711</v>
      </c>
      <c r="H56" s="2">
        <v>8</v>
      </c>
      <c r="I56" s="2">
        <v>1</v>
      </c>
      <c r="J56" s="4" t="s">
        <v>19</v>
      </c>
      <c r="K56" s="4" t="s">
        <v>36</v>
      </c>
      <c r="L56" s="4" t="s">
        <v>21</v>
      </c>
      <c r="M56" s="5">
        <v>212532</v>
      </c>
      <c r="N56" s="4" t="s">
        <v>29</v>
      </c>
      <c r="O56" s="4" t="s">
        <v>23</v>
      </c>
      <c r="P56" s="4" t="s">
        <v>24</v>
      </c>
    </row>
    <row r="57" spans="1:16" x14ac:dyDescent="0.3">
      <c r="A57" s="2">
        <v>281</v>
      </c>
      <c r="B57" s="3">
        <v>40624</v>
      </c>
      <c r="C57" s="4" t="s">
        <v>46</v>
      </c>
      <c r="D57" s="4" t="s">
        <v>51</v>
      </c>
      <c r="E57" s="4" t="s">
        <v>27</v>
      </c>
      <c r="F57" s="2">
        <v>35</v>
      </c>
      <c r="G57" s="5">
        <v>16492</v>
      </c>
      <c r="H57" s="2">
        <v>13</v>
      </c>
      <c r="I57" s="2">
        <v>2</v>
      </c>
      <c r="J57" s="4" t="s">
        <v>19</v>
      </c>
      <c r="K57" s="4" t="s">
        <v>36</v>
      </c>
      <c r="L57" s="4" t="s">
        <v>31</v>
      </c>
      <c r="M57" s="5">
        <v>197904</v>
      </c>
      <c r="N57" s="4" t="s">
        <v>22</v>
      </c>
      <c r="O57" s="4" t="s">
        <v>23</v>
      </c>
      <c r="P57" s="4" t="s">
        <v>24</v>
      </c>
    </row>
    <row r="58" spans="1:16" x14ac:dyDescent="0.3">
      <c r="A58" s="2">
        <v>283</v>
      </c>
      <c r="B58" s="3">
        <v>43974</v>
      </c>
      <c r="C58" s="4" t="s">
        <v>46</v>
      </c>
      <c r="D58" s="4" t="s">
        <v>48</v>
      </c>
      <c r="E58" s="4" t="s">
        <v>18</v>
      </c>
      <c r="F58" s="2">
        <v>41</v>
      </c>
      <c r="G58" s="5">
        <v>7135</v>
      </c>
      <c r="H58" s="2">
        <v>14</v>
      </c>
      <c r="I58" s="2">
        <v>2</v>
      </c>
      <c r="J58" s="4" t="s">
        <v>19</v>
      </c>
      <c r="K58" s="4" t="s">
        <v>36</v>
      </c>
      <c r="L58" s="4" t="s">
        <v>42</v>
      </c>
      <c r="M58" s="5">
        <v>85620</v>
      </c>
      <c r="N58" s="4" t="s">
        <v>22</v>
      </c>
      <c r="O58" s="4" t="s">
        <v>23</v>
      </c>
      <c r="P58" s="4" t="s">
        <v>24</v>
      </c>
    </row>
    <row r="59" spans="1:16" x14ac:dyDescent="0.3">
      <c r="A59" s="2">
        <v>284</v>
      </c>
      <c r="B59" s="3">
        <v>42828</v>
      </c>
      <c r="C59" s="4" t="s">
        <v>25</v>
      </c>
      <c r="D59" s="4" t="s">
        <v>30</v>
      </c>
      <c r="E59" s="4" t="s">
        <v>18</v>
      </c>
      <c r="F59" s="2">
        <v>50</v>
      </c>
      <c r="G59" s="5">
        <v>15483</v>
      </c>
      <c r="H59" s="2">
        <v>15</v>
      </c>
      <c r="I59" s="2">
        <v>2</v>
      </c>
      <c r="J59" s="4" t="s">
        <v>19</v>
      </c>
      <c r="K59" s="4" t="s">
        <v>36</v>
      </c>
      <c r="L59" s="4" t="s">
        <v>42</v>
      </c>
      <c r="M59" s="5">
        <v>185796</v>
      </c>
      <c r="N59" s="4" t="s">
        <v>29</v>
      </c>
      <c r="O59" s="4" t="s">
        <v>23</v>
      </c>
      <c r="P59" s="4" t="s">
        <v>24</v>
      </c>
    </row>
    <row r="60" spans="1:16" x14ac:dyDescent="0.3">
      <c r="A60" s="2">
        <v>319</v>
      </c>
      <c r="B60" s="3">
        <v>41709</v>
      </c>
      <c r="C60" s="4" t="s">
        <v>33</v>
      </c>
      <c r="D60" s="4" t="s">
        <v>34</v>
      </c>
      <c r="E60" s="4" t="s">
        <v>27</v>
      </c>
      <c r="F60" s="2">
        <v>58</v>
      </c>
      <c r="G60" s="5">
        <v>14877</v>
      </c>
      <c r="H60" s="2">
        <v>8</v>
      </c>
      <c r="I60" s="2">
        <v>2</v>
      </c>
      <c r="J60" s="4" t="s">
        <v>19</v>
      </c>
      <c r="K60" s="4" t="s">
        <v>20</v>
      </c>
      <c r="L60" s="4" t="s">
        <v>43</v>
      </c>
      <c r="M60" s="5">
        <v>178524</v>
      </c>
      <c r="N60" s="4" t="s">
        <v>29</v>
      </c>
      <c r="O60" s="4" t="s">
        <v>23</v>
      </c>
      <c r="P60" s="4" t="s">
        <v>24</v>
      </c>
    </row>
    <row r="61" spans="1:16" x14ac:dyDescent="0.3">
      <c r="A61" s="2">
        <v>320</v>
      </c>
      <c r="B61" s="3">
        <v>40475</v>
      </c>
      <c r="C61" s="4" t="s">
        <v>46</v>
      </c>
      <c r="D61" s="4" t="s">
        <v>47</v>
      </c>
      <c r="E61" s="4" t="s">
        <v>27</v>
      </c>
      <c r="F61" s="2">
        <v>42</v>
      </c>
      <c r="G61" s="5">
        <v>17544</v>
      </c>
      <c r="H61" s="2">
        <v>12</v>
      </c>
      <c r="I61" s="2">
        <v>1</v>
      </c>
      <c r="J61" s="4" t="s">
        <v>19</v>
      </c>
      <c r="K61" s="4" t="s">
        <v>28</v>
      </c>
      <c r="L61" s="4" t="s">
        <v>39</v>
      </c>
      <c r="M61" s="5">
        <v>210528</v>
      </c>
      <c r="N61" s="4" t="s">
        <v>22</v>
      </c>
      <c r="O61" s="4" t="s">
        <v>23</v>
      </c>
      <c r="P61" s="4" t="s">
        <v>24</v>
      </c>
    </row>
    <row r="62" spans="1:16" x14ac:dyDescent="0.3">
      <c r="A62" s="2">
        <v>323</v>
      </c>
      <c r="B62" s="3">
        <v>43501</v>
      </c>
      <c r="C62" s="4" t="s">
        <v>46</v>
      </c>
      <c r="D62" s="4" t="s">
        <v>47</v>
      </c>
      <c r="E62" s="4" t="s">
        <v>27</v>
      </c>
      <c r="F62" s="2">
        <v>51</v>
      </c>
      <c r="G62" s="5">
        <v>17522</v>
      </c>
      <c r="H62" s="2">
        <v>12</v>
      </c>
      <c r="I62" s="2">
        <v>2</v>
      </c>
      <c r="J62" s="4" t="s">
        <v>35</v>
      </c>
      <c r="K62" s="4" t="s">
        <v>28</v>
      </c>
      <c r="L62" s="4" t="s">
        <v>43</v>
      </c>
      <c r="M62" s="5">
        <v>210264</v>
      </c>
      <c r="N62" s="4" t="s">
        <v>29</v>
      </c>
      <c r="O62" s="4" t="s">
        <v>23</v>
      </c>
      <c r="P62" s="4" t="s">
        <v>24</v>
      </c>
    </row>
    <row r="63" spans="1:16" x14ac:dyDescent="0.3">
      <c r="A63" s="2">
        <v>330</v>
      </c>
      <c r="B63" s="3">
        <v>44205</v>
      </c>
      <c r="C63" s="4" t="s">
        <v>16</v>
      </c>
      <c r="D63" s="4" t="s">
        <v>17</v>
      </c>
      <c r="E63" s="4" t="s">
        <v>18</v>
      </c>
      <c r="F63" s="2">
        <v>27</v>
      </c>
      <c r="G63" s="5">
        <v>17999</v>
      </c>
      <c r="H63" s="2">
        <v>13</v>
      </c>
      <c r="I63" s="2">
        <v>1</v>
      </c>
      <c r="J63" s="4" t="s">
        <v>35</v>
      </c>
      <c r="K63" s="4" t="s">
        <v>28</v>
      </c>
      <c r="L63" s="4" t="s">
        <v>43</v>
      </c>
      <c r="M63" s="5">
        <v>215988</v>
      </c>
      <c r="N63" s="4" t="s">
        <v>32</v>
      </c>
      <c r="O63" s="4" t="s">
        <v>23</v>
      </c>
      <c r="P63" s="4" t="s">
        <v>24</v>
      </c>
    </row>
    <row r="64" spans="1:16" x14ac:dyDescent="0.3">
      <c r="A64" s="2">
        <v>334</v>
      </c>
      <c r="B64" s="3">
        <v>43076</v>
      </c>
      <c r="C64" s="4" t="s">
        <v>25</v>
      </c>
      <c r="D64" s="4" t="s">
        <v>30</v>
      </c>
      <c r="E64" s="4" t="s">
        <v>27</v>
      </c>
      <c r="F64" s="2">
        <v>36</v>
      </c>
      <c r="G64" s="5">
        <v>7773</v>
      </c>
      <c r="H64" s="2">
        <v>11</v>
      </c>
      <c r="I64" s="2">
        <v>1</v>
      </c>
      <c r="J64" s="4" t="s">
        <v>19</v>
      </c>
      <c r="K64" s="4" t="s">
        <v>20</v>
      </c>
      <c r="L64" s="4" t="s">
        <v>39</v>
      </c>
      <c r="M64" s="5">
        <v>93276</v>
      </c>
      <c r="N64" s="4" t="s">
        <v>22</v>
      </c>
      <c r="O64" s="4" t="s">
        <v>23</v>
      </c>
      <c r="P64" s="4" t="s">
        <v>24</v>
      </c>
    </row>
    <row r="65" spans="1:16" x14ac:dyDescent="0.3">
      <c r="A65" s="2">
        <v>337</v>
      </c>
      <c r="B65" s="3">
        <v>40261</v>
      </c>
      <c r="C65" s="4" t="s">
        <v>33</v>
      </c>
      <c r="D65" s="4" t="s">
        <v>34</v>
      </c>
      <c r="E65" s="4" t="s">
        <v>18</v>
      </c>
      <c r="F65" s="2">
        <v>27</v>
      </c>
      <c r="G65" s="5">
        <v>7787</v>
      </c>
      <c r="H65" s="2">
        <v>8</v>
      </c>
      <c r="I65" s="2">
        <v>2</v>
      </c>
      <c r="J65" s="4" t="s">
        <v>19</v>
      </c>
      <c r="K65" s="4" t="s">
        <v>20</v>
      </c>
      <c r="L65" s="4" t="s">
        <v>31</v>
      </c>
      <c r="M65" s="5">
        <v>93444</v>
      </c>
      <c r="N65" s="4" t="s">
        <v>32</v>
      </c>
      <c r="O65" s="4" t="s">
        <v>23</v>
      </c>
      <c r="P65" s="4" t="s">
        <v>24</v>
      </c>
    </row>
    <row r="66" spans="1:16" x14ac:dyDescent="0.3">
      <c r="A66" s="2">
        <v>338</v>
      </c>
      <c r="B66" s="3">
        <v>43620</v>
      </c>
      <c r="C66" s="4" t="s">
        <v>37</v>
      </c>
      <c r="D66" s="4" t="s">
        <v>38</v>
      </c>
      <c r="E66" s="4" t="s">
        <v>18</v>
      </c>
      <c r="F66" s="2">
        <v>43</v>
      </c>
      <c r="G66" s="5">
        <v>15389</v>
      </c>
      <c r="H66" s="2">
        <v>14</v>
      </c>
      <c r="I66" s="2">
        <v>1</v>
      </c>
      <c r="J66" s="4" t="s">
        <v>19</v>
      </c>
      <c r="K66" s="4" t="s">
        <v>36</v>
      </c>
      <c r="L66" s="4" t="s">
        <v>39</v>
      </c>
      <c r="M66" s="5">
        <v>184668</v>
      </c>
      <c r="N66" s="4" t="s">
        <v>22</v>
      </c>
      <c r="O66" s="4" t="s">
        <v>23</v>
      </c>
      <c r="P66" s="4" t="s">
        <v>24</v>
      </c>
    </row>
    <row r="67" spans="1:16" x14ac:dyDescent="0.3">
      <c r="A67" s="2">
        <v>342</v>
      </c>
      <c r="B67" s="3">
        <v>40989</v>
      </c>
      <c r="C67" s="4" t="s">
        <v>16</v>
      </c>
      <c r="D67" s="4" t="s">
        <v>17</v>
      </c>
      <c r="E67" s="4" t="s">
        <v>18</v>
      </c>
      <c r="F67" s="2">
        <v>31</v>
      </c>
      <c r="G67" s="5">
        <v>14923</v>
      </c>
      <c r="H67" s="2">
        <v>11</v>
      </c>
      <c r="I67" s="2">
        <v>2</v>
      </c>
      <c r="J67" s="4" t="s">
        <v>19</v>
      </c>
      <c r="K67" s="4" t="s">
        <v>20</v>
      </c>
      <c r="L67" s="4" t="s">
        <v>31</v>
      </c>
      <c r="M67" s="5">
        <v>179076</v>
      </c>
      <c r="N67" s="4" t="s">
        <v>22</v>
      </c>
      <c r="O67" s="4" t="s">
        <v>23</v>
      </c>
      <c r="P67" s="4" t="s">
        <v>24</v>
      </c>
    </row>
    <row r="68" spans="1:16" x14ac:dyDescent="0.3">
      <c r="A68" s="2">
        <v>346</v>
      </c>
      <c r="B68" s="3">
        <v>45043</v>
      </c>
      <c r="C68" s="4" t="s">
        <v>46</v>
      </c>
      <c r="D68" s="4" t="s">
        <v>47</v>
      </c>
      <c r="E68" s="4" t="s">
        <v>18</v>
      </c>
      <c r="F68" s="2">
        <v>45</v>
      </c>
      <c r="G68" s="5">
        <v>9678</v>
      </c>
      <c r="H68" s="2">
        <v>8</v>
      </c>
      <c r="I68" s="2">
        <v>1</v>
      </c>
      <c r="J68" s="4" t="s">
        <v>35</v>
      </c>
      <c r="K68" s="4" t="s">
        <v>28</v>
      </c>
      <c r="L68" s="4" t="s">
        <v>21</v>
      </c>
      <c r="M68" s="5">
        <v>116136</v>
      </c>
      <c r="N68" s="4" t="s">
        <v>22</v>
      </c>
      <c r="O68" s="4" t="s">
        <v>23</v>
      </c>
      <c r="P68" s="4" t="s">
        <v>24</v>
      </c>
    </row>
    <row r="69" spans="1:16" x14ac:dyDescent="0.3">
      <c r="A69" s="2">
        <v>354</v>
      </c>
      <c r="B69" s="3">
        <v>40912</v>
      </c>
      <c r="C69" s="4" t="s">
        <v>16</v>
      </c>
      <c r="D69" s="4" t="s">
        <v>40</v>
      </c>
      <c r="E69" s="4" t="s">
        <v>18</v>
      </c>
      <c r="F69" s="2">
        <v>57</v>
      </c>
      <c r="G69" s="5">
        <v>12858</v>
      </c>
      <c r="H69" s="2">
        <v>11</v>
      </c>
      <c r="I69" s="2">
        <v>2</v>
      </c>
      <c r="J69" s="4" t="s">
        <v>35</v>
      </c>
      <c r="K69" s="4" t="s">
        <v>28</v>
      </c>
      <c r="L69" s="4" t="s">
        <v>39</v>
      </c>
      <c r="M69" s="5">
        <v>154296</v>
      </c>
      <c r="N69" s="4" t="s">
        <v>29</v>
      </c>
      <c r="O69" s="4" t="s">
        <v>23</v>
      </c>
      <c r="P69" s="4" t="s">
        <v>24</v>
      </c>
    </row>
    <row r="70" spans="1:16" x14ac:dyDescent="0.3">
      <c r="A70" s="2">
        <v>355</v>
      </c>
      <c r="B70" s="3">
        <v>43993</v>
      </c>
      <c r="C70" s="4" t="s">
        <v>16</v>
      </c>
      <c r="D70" s="4" t="s">
        <v>17</v>
      </c>
      <c r="E70" s="4" t="s">
        <v>27</v>
      </c>
      <c r="F70" s="2">
        <v>56</v>
      </c>
      <c r="G70" s="5">
        <v>17219</v>
      </c>
      <c r="H70" s="2">
        <v>10</v>
      </c>
      <c r="I70" s="2">
        <v>2</v>
      </c>
      <c r="J70" s="4" t="s">
        <v>19</v>
      </c>
      <c r="K70" s="4" t="s">
        <v>28</v>
      </c>
      <c r="L70" s="4" t="s">
        <v>39</v>
      </c>
      <c r="M70" s="5">
        <v>206628</v>
      </c>
      <c r="N70" s="4" t="s">
        <v>29</v>
      </c>
      <c r="O70" s="4" t="s">
        <v>23</v>
      </c>
      <c r="P70" s="4" t="s">
        <v>24</v>
      </c>
    </row>
    <row r="71" spans="1:16" x14ac:dyDescent="0.3">
      <c r="A71" s="2">
        <v>362</v>
      </c>
      <c r="B71" s="3">
        <v>45149</v>
      </c>
      <c r="C71" s="4" t="s">
        <v>33</v>
      </c>
      <c r="D71" s="4" t="s">
        <v>34</v>
      </c>
      <c r="E71" s="4" t="s">
        <v>27</v>
      </c>
      <c r="F71" s="2">
        <v>53</v>
      </c>
      <c r="G71" s="5">
        <v>18079</v>
      </c>
      <c r="H71" s="2">
        <v>14</v>
      </c>
      <c r="I71" s="2">
        <v>2</v>
      </c>
      <c r="J71" s="4" t="s">
        <v>19</v>
      </c>
      <c r="K71" s="4" t="s">
        <v>20</v>
      </c>
      <c r="L71" s="4" t="s">
        <v>31</v>
      </c>
      <c r="M71" s="5">
        <v>216948</v>
      </c>
      <c r="N71" s="4" t="s">
        <v>29</v>
      </c>
      <c r="O71" s="4" t="s">
        <v>23</v>
      </c>
      <c r="P71" s="4" t="s">
        <v>24</v>
      </c>
    </row>
    <row r="72" spans="1:16" x14ac:dyDescent="0.3">
      <c r="A72" s="2">
        <v>366</v>
      </c>
      <c r="B72" s="3">
        <v>42899</v>
      </c>
      <c r="C72" s="4" t="s">
        <v>46</v>
      </c>
      <c r="D72" s="4" t="s">
        <v>51</v>
      </c>
      <c r="E72" s="4" t="s">
        <v>18</v>
      </c>
      <c r="F72" s="2">
        <v>38</v>
      </c>
      <c r="G72" s="5">
        <v>16937</v>
      </c>
      <c r="H72" s="2">
        <v>13</v>
      </c>
      <c r="I72" s="2">
        <v>2</v>
      </c>
      <c r="J72" s="4" t="s">
        <v>35</v>
      </c>
      <c r="K72" s="4" t="s">
        <v>28</v>
      </c>
      <c r="L72" s="4" t="s">
        <v>43</v>
      </c>
      <c r="M72" s="5">
        <v>203244</v>
      </c>
      <c r="N72" s="4" t="s">
        <v>22</v>
      </c>
      <c r="O72" s="4" t="s">
        <v>23</v>
      </c>
      <c r="P72" s="4" t="s">
        <v>24</v>
      </c>
    </row>
    <row r="73" spans="1:16" x14ac:dyDescent="0.3">
      <c r="A73" s="2">
        <v>373</v>
      </c>
      <c r="B73" s="3">
        <v>42405</v>
      </c>
      <c r="C73" s="4" t="s">
        <v>25</v>
      </c>
      <c r="D73" s="4" t="s">
        <v>26</v>
      </c>
      <c r="E73" s="4" t="s">
        <v>18</v>
      </c>
      <c r="F73" s="2">
        <v>24</v>
      </c>
      <c r="G73" s="5">
        <v>11583</v>
      </c>
      <c r="H73" s="2">
        <v>9</v>
      </c>
      <c r="I73" s="2">
        <v>2</v>
      </c>
      <c r="J73" s="4" t="s">
        <v>35</v>
      </c>
      <c r="K73" s="4" t="s">
        <v>36</v>
      </c>
      <c r="L73" s="4" t="s">
        <v>39</v>
      </c>
      <c r="M73" s="5">
        <v>138996</v>
      </c>
      <c r="N73" s="4" t="s">
        <v>32</v>
      </c>
      <c r="O73" s="4" t="s">
        <v>23</v>
      </c>
      <c r="P73" s="4" t="s">
        <v>24</v>
      </c>
    </row>
    <row r="74" spans="1:16" x14ac:dyDescent="0.3">
      <c r="A74" s="2">
        <v>377</v>
      </c>
      <c r="B74" s="3">
        <v>40296</v>
      </c>
      <c r="C74" s="4" t="s">
        <v>33</v>
      </c>
      <c r="D74" s="4" t="s">
        <v>34</v>
      </c>
      <c r="E74" s="4" t="s">
        <v>27</v>
      </c>
      <c r="F74" s="2">
        <v>40</v>
      </c>
      <c r="G74" s="5">
        <v>13351</v>
      </c>
      <c r="H74" s="2">
        <v>15</v>
      </c>
      <c r="I74" s="2">
        <v>1</v>
      </c>
      <c r="J74" s="4" t="s">
        <v>35</v>
      </c>
      <c r="K74" s="4" t="s">
        <v>36</v>
      </c>
      <c r="L74" s="4" t="s">
        <v>39</v>
      </c>
      <c r="M74" s="5">
        <v>160212</v>
      </c>
      <c r="N74" s="4" t="s">
        <v>22</v>
      </c>
      <c r="O74" s="4" t="s">
        <v>23</v>
      </c>
      <c r="P74" s="4" t="s">
        <v>24</v>
      </c>
    </row>
    <row r="75" spans="1:16" x14ac:dyDescent="0.3">
      <c r="A75" s="2">
        <v>380</v>
      </c>
      <c r="B75" s="3">
        <v>44409</v>
      </c>
      <c r="C75" s="4" t="s">
        <v>16</v>
      </c>
      <c r="D75" s="4" t="s">
        <v>17</v>
      </c>
      <c r="E75" s="4" t="s">
        <v>18</v>
      </c>
      <c r="F75" s="2">
        <v>34</v>
      </c>
      <c r="G75" s="5">
        <v>9611</v>
      </c>
      <c r="H75" s="2">
        <v>9</v>
      </c>
      <c r="I75" s="2">
        <v>2</v>
      </c>
      <c r="J75" s="4" t="s">
        <v>19</v>
      </c>
      <c r="K75" s="4" t="s">
        <v>28</v>
      </c>
      <c r="L75" s="4" t="s">
        <v>21</v>
      </c>
      <c r="M75" s="5">
        <v>115332</v>
      </c>
      <c r="N75" s="4" t="s">
        <v>22</v>
      </c>
      <c r="O75" s="4" t="s">
        <v>23</v>
      </c>
      <c r="P75" s="4" t="s">
        <v>24</v>
      </c>
    </row>
    <row r="76" spans="1:16" x14ac:dyDescent="0.3">
      <c r="A76" s="2">
        <v>387</v>
      </c>
      <c r="B76" s="3">
        <v>44965</v>
      </c>
      <c r="C76" s="4" t="s">
        <v>16</v>
      </c>
      <c r="D76" s="4" t="s">
        <v>40</v>
      </c>
      <c r="E76" s="4" t="s">
        <v>18</v>
      </c>
      <c r="F76" s="2">
        <v>24</v>
      </c>
      <c r="G76" s="5">
        <v>7304</v>
      </c>
      <c r="H76" s="2">
        <v>15</v>
      </c>
      <c r="I76" s="2">
        <v>1</v>
      </c>
      <c r="J76" s="4" t="s">
        <v>19</v>
      </c>
      <c r="K76" s="4" t="s">
        <v>36</v>
      </c>
      <c r="L76" s="4" t="s">
        <v>42</v>
      </c>
      <c r="M76" s="5">
        <v>87648</v>
      </c>
      <c r="N76" s="4" t="s">
        <v>32</v>
      </c>
      <c r="O76" s="4" t="s">
        <v>23</v>
      </c>
      <c r="P76" s="4" t="s">
        <v>24</v>
      </c>
    </row>
    <row r="77" spans="1:16" x14ac:dyDescent="0.3">
      <c r="A77" s="2">
        <v>391</v>
      </c>
      <c r="B77" s="3">
        <v>43835</v>
      </c>
      <c r="C77" s="4" t="s">
        <v>33</v>
      </c>
      <c r="D77" s="4" t="s">
        <v>34</v>
      </c>
      <c r="E77" s="4" t="s">
        <v>27</v>
      </c>
      <c r="F77" s="2">
        <v>30</v>
      </c>
      <c r="G77" s="5">
        <v>15014</v>
      </c>
      <c r="H77" s="2">
        <v>11</v>
      </c>
      <c r="I77" s="2">
        <v>2</v>
      </c>
      <c r="J77" s="4" t="s">
        <v>35</v>
      </c>
      <c r="K77" s="4" t="s">
        <v>28</v>
      </c>
      <c r="L77" s="4" t="s">
        <v>31</v>
      </c>
      <c r="M77" s="5">
        <v>180168</v>
      </c>
      <c r="N77" s="4" t="s">
        <v>22</v>
      </c>
      <c r="O77" s="4" t="s">
        <v>23</v>
      </c>
      <c r="P77" s="4" t="s">
        <v>24</v>
      </c>
    </row>
    <row r="78" spans="1:16" x14ac:dyDescent="0.3">
      <c r="A78" s="2">
        <v>408</v>
      </c>
      <c r="B78" s="3">
        <v>40980</v>
      </c>
      <c r="C78" s="4" t="s">
        <v>44</v>
      </c>
      <c r="D78" s="4" t="s">
        <v>45</v>
      </c>
      <c r="E78" s="4" t="s">
        <v>27</v>
      </c>
      <c r="F78" s="2">
        <v>29</v>
      </c>
      <c r="G78" s="5">
        <v>16060</v>
      </c>
      <c r="H78" s="2">
        <v>8</v>
      </c>
      <c r="I78" s="2">
        <v>1</v>
      </c>
      <c r="J78" s="4" t="s">
        <v>19</v>
      </c>
      <c r="K78" s="4" t="s">
        <v>20</v>
      </c>
      <c r="L78" s="4" t="s">
        <v>31</v>
      </c>
      <c r="M78" s="5">
        <v>192720</v>
      </c>
      <c r="N78" s="4" t="s">
        <v>32</v>
      </c>
      <c r="O78" s="4" t="s">
        <v>23</v>
      </c>
      <c r="P78" s="4" t="s">
        <v>24</v>
      </c>
    </row>
    <row r="79" spans="1:16" x14ac:dyDescent="0.3">
      <c r="A79" s="2">
        <v>409</v>
      </c>
      <c r="B79" s="3">
        <v>43734</v>
      </c>
      <c r="C79" s="4" t="s">
        <v>37</v>
      </c>
      <c r="D79" s="4" t="s">
        <v>38</v>
      </c>
      <c r="E79" s="4" t="s">
        <v>18</v>
      </c>
      <c r="F79" s="2">
        <v>42</v>
      </c>
      <c r="G79" s="5">
        <v>18811</v>
      </c>
      <c r="H79" s="2">
        <v>10</v>
      </c>
      <c r="I79" s="2">
        <v>1</v>
      </c>
      <c r="J79" s="4" t="s">
        <v>19</v>
      </c>
      <c r="K79" s="4" t="s">
        <v>36</v>
      </c>
      <c r="L79" s="4" t="s">
        <v>39</v>
      </c>
      <c r="M79" s="5">
        <v>225732</v>
      </c>
      <c r="N79" s="4" t="s">
        <v>22</v>
      </c>
      <c r="O79" s="4" t="s">
        <v>23</v>
      </c>
      <c r="P79" s="4" t="s">
        <v>24</v>
      </c>
    </row>
    <row r="80" spans="1:16" x14ac:dyDescent="0.3">
      <c r="A80" s="2">
        <v>421</v>
      </c>
      <c r="B80" s="3">
        <v>42743</v>
      </c>
      <c r="C80" s="4" t="s">
        <v>16</v>
      </c>
      <c r="D80" s="4" t="s">
        <v>17</v>
      </c>
      <c r="E80" s="4" t="s">
        <v>27</v>
      </c>
      <c r="F80" s="2">
        <v>48</v>
      </c>
      <c r="G80" s="5">
        <v>13111</v>
      </c>
      <c r="H80" s="2">
        <v>14</v>
      </c>
      <c r="I80" s="2">
        <v>1</v>
      </c>
      <c r="J80" s="4" t="s">
        <v>35</v>
      </c>
      <c r="K80" s="4" t="s">
        <v>36</v>
      </c>
      <c r="L80" s="4" t="s">
        <v>31</v>
      </c>
      <c r="M80" s="5">
        <v>157332</v>
      </c>
      <c r="N80" s="4" t="s">
        <v>29</v>
      </c>
      <c r="O80" s="4" t="s">
        <v>23</v>
      </c>
      <c r="P80" s="4" t="s">
        <v>24</v>
      </c>
    </row>
    <row r="81" spans="1:16" x14ac:dyDescent="0.3">
      <c r="A81" s="2">
        <v>423</v>
      </c>
      <c r="B81" s="3">
        <v>43524</v>
      </c>
      <c r="C81" s="4" t="s">
        <v>44</v>
      </c>
      <c r="D81" s="4" t="s">
        <v>50</v>
      </c>
      <c r="E81" s="4" t="s">
        <v>18</v>
      </c>
      <c r="F81" s="2">
        <v>60</v>
      </c>
      <c r="G81" s="5">
        <v>19503</v>
      </c>
      <c r="H81" s="2">
        <v>9</v>
      </c>
      <c r="I81" s="2">
        <v>2</v>
      </c>
      <c r="J81" s="4" t="s">
        <v>35</v>
      </c>
      <c r="K81" s="4" t="s">
        <v>20</v>
      </c>
      <c r="L81" s="4" t="s">
        <v>39</v>
      </c>
      <c r="M81" s="5">
        <v>234036</v>
      </c>
      <c r="N81" s="4" t="s">
        <v>29</v>
      </c>
      <c r="O81" s="4" t="s">
        <v>23</v>
      </c>
      <c r="P81" s="4" t="s">
        <v>24</v>
      </c>
    </row>
    <row r="82" spans="1:16" x14ac:dyDescent="0.3">
      <c r="A82" s="2">
        <v>425</v>
      </c>
      <c r="B82" s="3">
        <v>41021</v>
      </c>
      <c r="C82" s="4" t="s">
        <v>25</v>
      </c>
      <c r="D82" s="4" t="s">
        <v>26</v>
      </c>
      <c r="E82" s="4" t="s">
        <v>27</v>
      </c>
      <c r="F82" s="2">
        <v>28</v>
      </c>
      <c r="G82" s="5">
        <v>16500</v>
      </c>
      <c r="H82" s="2">
        <v>9</v>
      </c>
      <c r="I82" s="2">
        <v>2</v>
      </c>
      <c r="J82" s="4" t="s">
        <v>19</v>
      </c>
      <c r="K82" s="4" t="s">
        <v>36</v>
      </c>
      <c r="L82" s="4" t="s">
        <v>42</v>
      </c>
      <c r="M82" s="5">
        <v>198000</v>
      </c>
      <c r="N82" s="4" t="s">
        <v>32</v>
      </c>
      <c r="O82" s="4" t="s">
        <v>23</v>
      </c>
      <c r="P82" s="4" t="s">
        <v>24</v>
      </c>
    </row>
    <row r="83" spans="1:16" x14ac:dyDescent="0.3">
      <c r="A83" s="2">
        <v>431</v>
      </c>
      <c r="B83" s="3">
        <v>44980</v>
      </c>
      <c r="C83" s="4" t="s">
        <v>46</v>
      </c>
      <c r="D83" s="4" t="s">
        <v>51</v>
      </c>
      <c r="E83" s="4" t="s">
        <v>18</v>
      </c>
      <c r="F83" s="2">
        <v>50</v>
      </c>
      <c r="G83" s="5">
        <v>4816</v>
      </c>
      <c r="H83" s="2">
        <v>8</v>
      </c>
      <c r="I83" s="2">
        <v>1</v>
      </c>
      <c r="J83" s="4" t="s">
        <v>35</v>
      </c>
      <c r="K83" s="4" t="s">
        <v>36</v>
      </c>
      <c r="L83" s="4" t="s">
        <v>21</v>
      </c>
      <c r="M83" s="5">
        <v>57792</v>
      </c>
      <c r="N83" s="4" t="s">
        <v>29</v>
      </c>
      <c r="O83" s="4" t="s">
        <v>23</v>
      </c>
      <c r="P83" s="4" t="s">
        <v>24</v>
      </c>
    </row>
    <row r="84" spans="1:16" x14ac:dyDescent="0.3">
      <c r="A84" s="2">
        <v>434</v>
      </c>
      <c r="B84" s="3">
        <v>40644</v>
      </c>
      <c r="C84" s="4" t="s">
        <v>33</v>
      </c>
      <c r="D84" s="4" t="s">
        <v>34</v>
      </c>
      <c r="E84" s="4" t="s">
        <v>18</v>
      </c>
      <c r="F84" s="2">
        <v>50</v>
      </c>
      <c r="G84" s="5">
        <v>4761</v>
      </c>
      <c r="H84" s="2">
        <v>12</v>
      </c>
      <c r="I84" s="2">
        <v>2</v>
      </c>
      <c r="J84" s="4" t="s">
        <v>19</v>
      </c>
      <c r="K84" s="4" t="s">
        <v>28</v>
      </c>
      <c r="L84" s="4" t="s">
        <v>31</v>
      </c>
      <c r="M84" s="5">
        <v>57132</v>
      </c>
      <c r="N84" s="4" t="s">
        <v>29</v>
      </c>
      <c r="O84" s="4" t="s">
        <v>23</v>
      </c>
      <c r="P84" s="4" t="s">
        <v>24</v>
      </c>
    </row>
    <row r="85" spans="1:16" x14ac:dyDescent="0.3">
      <c r="A85" s="2">
        <v>435</v>
      </c>
      <c r="B85" s="3">
        <v>44188</v>
      </c>
      <c r="C85" s="4" t="s">
        <v>33</v>
      </c>
      <c r="D85" s="4" t="s">
        <v>49</v>
      </c>
      <c r="E85" s="4" t="s">
        <v>27</v>
      </c>
      <c r="F85" s="2">
        <v>46</v>
      </c>
      <c r="G85" s="5">
        <v>7526</v>
      </c>
      <c r="H85" s="2">
        <v>9</v>
      </c>
      <c r="I85" s="2">
        <v>2</v>
      </c>
      <c r="J85" s="4" t="s">
        <v>19</v>
      </c>
      <c r="K85" s="4" t="s">
        <v>36</v>
      </c>
      <c r="L85" s="4" t="s">
        <v>43</v>
      </c>
      <c r="M85" s="5">
        <v>90312</v>
      </c>
      <c r="N85" s="4" t="s">
        <v>29</v>
      </c>
      <c r="O85" s="4" t="s">
        <v>23</v>
      </c>
      <c r="P85" s="4" t="s">
        <v>24</v>
      </c>
    </row>
    <row r="86" spans="1:16" x14ac:dyDescent="0.3">
      <c r="A86" s="2">
        <v>437</v>
      </c>
      <c r="B86" s="3">
        <v>43337</v>
      </c>
      <c r="C86" s="4" t="s">
        <v>25</v>
      </c>
      <c r="D86" s="4" t="s">
        <v>26</v>
      </c>
      <c r="E86" s="4" t="s">
        <v>27</v>
      </c>
      <c r="F86" s="2">
        <v>28</v>
      </c>
      <c r="G86" s="5">
        <v>18145</v>
      </c>
      <c r="H86" s="2">
        <v>10</v>
      </c>
      <c r="I86" s="2">
        <v>1</v>
      </c>
      <c r="J86" s="4" t="s">
        <v>35</v>
      </c>
      <c r="K86" s="4" t="s">
        <v>36</v>
      </c>
      <c r="L86" s="4" t="s">
        <v>42</v>
      </c>
      <c r="M86" s="5">
        <v>217740</v>
      </c>
      <c r="N86" s="4" t="s">
        <v>32</v>
      </c>
      <c r="O86" s="4" t="s">
        <v>23</v>
      </c>
      <c r="P86" s="4" t="s">
        <v>24</v>
      </c>
    </row>
    <row r="87" spans="1:16" x14ac:dyDescent="0.3">
      <c r="A87" s="2">
        <v>439</v>
      </c>
      <c r="B87" s="3">
        <v>42689</v>
      </c>
      <c r="C87" s="4" t="s">
        <v>33</v>
      </c>
      <c r="D87" s="4" t="s">
        <v>49</v>
      </c>
      <c r="E87" s="4" t="s">
        <v>27</v>
      </c>
      <c r="F87" s="2">
        <v>60</v>
      </c>
      <c r="G87" s="5">
        <v>17522</v>
      </c>
      <c r="H87" s="2">
        <v>9</v>
      </c>
      <c r="I87" s="2">
        <v>1</v>
      </c>
      <c r="J87" s="4" t="s">
        <v>35</v>
      </c>
      <c r="K87" s="4" t="s">
        <v>36</v>
      </c>
      <c r="L87" s="4" t="s">
        <v>42</v>
      </c>
      <c r="M87" s="5">
        <v>210264</v>
      </c>
      <c r="N87" s="4" t="s">
        <v>29</v>
      </c>
      <c r="O87" s="4" t="s">
        <v>23</v>
      </c>
      <c r="P87" s="4" t="s">
        <v>24</v>
      </c>
    </row>
    <row r="88" spans="1:16" x14ac:dyDescent="0.3">
      <c r="A88" s="2">
        <v>441</v>
      </c>
      <c r="B88" s="3">
        <v>40217</v>
      </c>
      <c r="C88" s="4" t="s">
        <v>37</v>
      </c>
      <c r="D88" s="4" t="s">
        <v>38</v>
      </c>
      <c r="E88" s="4" t="s">
        <v>27</v>
      </c>
      <c r="F88" s="2">
        <v>26</v>
      </c>
      <c r="G88" s="5">
        <v>8374</v>
      </c>
      <c r="H88" s="2">
        <v>12</v>
      </c>
      <c r="I88" s="2">
        <v>1</v>
      </c>
      <c r="J88" s="4" t="s">
        <v>19</v>
      </c>
      <c r="K88" s="4" t="s">
        <v>20</v>
      </c>
      <c r="L88" s="4" t="s">
        <v>21</v>
      </c>
      <c r="M88" s="5">
        <v>100488</v>
      </c>
      <c r="N88" s="4" t="s">
        <v>32</v>
      </c>
      <c r="O88" s="4" t="s">
        <v>23</v>
      </c>
      <c r="P88" s="4" t="s">
        <v>24</v>
      </c>
    </row>
    <row r="89" spans="1:16" x14ac:dyDescent="0.3">
      <c r="A89" s="2">
        <v>445</v>
      </c>
      <c r="B89" s="3">
        <v>43030</v>
      </c>
      <c r="C89" s="4" t="s">
        <v>37</v>
      </c>
      <c r="D89" s="4" t="s">
        <v>41</v>
      </c>
      <c r="E89" s="4" t="s">
        <v>27</v>
      </c>
      <c r="F89" s="2">
        <v>33</v>
      </c>
      <c r="G89" s="5">
        <v>18328</v>
      </c>
      <c r="H89" s="2">
        <v>8</v>
      </c>
      <c r="I89" s="2">
        <v>1</v>
      </c>
      <c r="J89" s="4" t="s">
        <v>19</v>
      </c>
      <c r="K89" s="4" t="s">
        <v>20</v>
      </c>
      <c r="L89" s="4" t="s">
        <v>43</v>
      </c>
      <c r="M89" s="5">
        <v>219936</v>
      </c>
      <c r="N89" s="4" t="s">
        <v>22</v>
      </c>
      <c r="O89" s="4" t="s">
        <v>23</v>
      </c>
      <c r="P89" s="4" t="s">
        <v>24</v>
      </c>
    </row>
    <row r="90" spans="1:16" x14ac:dyDescent="0.3">
      <c r="A90" s="2">
        <v>454</v>
      </c>
      <c r="B90" s="3">
        <v>44389</v>
      </c>
      <c r="C90" s="4" t="s">
        <v>25</v>
      </c>
      <c r="D90" s="4" t="s">
        <v>30</v>
      </c>
      <c r="E90" s="4" t="s">
        <v>18</v>
      </c>
      <c r="F90" s="2">
        <v>49</v>
      </c>
      <c r="G90" s="5">
        <v>19086</v>
      </c>
      <c r="H90" s="2">
        <v>14</v>
      </c>
      <c r="I90" s="2">
        <v>2</v>
      </c>
      <c r="J90" s="4" t="s">
        <v>35</v>
      </c>
      <c r="K90" s="4" t="s">
        <v>20</v>
      </c>
      <c r="L90" s="4" t="s">
        <v>39</v>
      </c>
      <c r="M90" s="5">
        <v>229032</v>
      </c>
      <c r="N90" s="4" t="s">
        <v>29</v>
      </c>
      <c r="O90" s="4" t="s">
        <v>23</v>
      </c>
      <c r="P90" s="4" t="s">
        <v>24</v>
      </c>
    </row>
    <row r="91" spans="1:16" x14ac:dyDescent="0.3">
      <c r="A91" s="2">
        <v>456</v>
      </c>
      <c r="B91" s="3">
        <v>41815</v>
      </c>
      <c r="C91" s="4" t="s">
        <v>33</v>
      </c>
      <c r="D91" s="4" t="s">
        <v>49</v>
      </c>
      <c r="E91" s="4" t="s">
        <v>18</v>
      </c>
      <c r="F91" s="2">
        <v>59</v>
      </c>
      <c r="G91" s="5">
        <v>7761</v>
      </c>
      <c r="H91" s="2">
        <v>8</v>
      </c>
      <c r="I91" s="2">
        <v>2</v>
      </c>
      <c r="J91" s="4" t="s">
        <v>19</v>
      </c>
      <c r="K91" s="4" t="s">
        <v>20</v>
      </c>
      <c r="L91" s="4" t="s">
        <v>43</v>
      </c>
      <c r="M91" s="5">
        <v>93132</v>
      </c>
      <c r="N91" s="4" t="s">
        <v>29</v>
      </c>
      <c r="O91" s="4" t="s">
        <v>23</v>
      </c>
      <c r="P91" s="4" t="s">
        <v>24</v>
      </c>
    </row>
    <row r="92" spans="1:16" x14ac:dyDescent="0.3">
      <c r="A92" s="2">
        <v>457</v>
      </c>
      <c r="B92" s="3">
        <v>43580</v>
      </c>
      <c r="C92" s="4" t="s">
        <v>16</v>
      </c>
      <c r="D92" s="4" t="s">
        <v>40</v>
      </c>
      <c r="E92" s="4" t="s">
        <v>18</v>
      </c>
      <c r="F92" s="2">
        <v>35</v>
      </c>
      <c r="G92" s="5">
        <v>16124</v>
      </c>
      <c r="H92" s="2">
        <v>13</v>
      </c>
      <c r="I92" s="2">
        <v>2</v>
      </c>
      <c r="J92" s="4" t="s">
        <v>35</v>
      </c>
      <c r="K92" s="4" t="s">
        <v>28</v>
      </c>
      <c r="L92" s="4" t="s">
        <v>43</v>
      </c>
      <c r="M92" s="5">
        <v>193488</v>
      </c>
      <c r="N92" s="4" t="s">
        <v>22</v>
      </c>
      <c r="O92" s="4" t="s">
        <v>23</v>
      </c>
      <c r="P92" s="4" t="s">
        <v>24</v>
      </c>
    </row>
    <row r="93" spans="1:16" x14ac:dyDescent="0.3">
      <c r="A93" s="2">
        <v>461</v>
      </c>
      <c r="B93" s="3">
        <v>44759</v>
      </c>
      <c r="C93" s="4" t="s">
        <v>46</v>
      </c>
      <c r="D93" s="4" t="s">
        <v>48</v>
      </c>
      <c r="E93" s="4" t="s">
        <v>18</v>
      </c>
      <c r="F93" s="2">
        <v>37</v>
      </c>
      <c r="G93" s="5">
        <v>11488</v>
      </c>
      <c r="H93" s="2">
        <v>9</v>
      </c>
      <c r="I93" s="2">
        <v>2</v>
      </c>
      <c r="J93" s="4" t="s">
        <v>19</v>
      </c>
      <c r="K93" s="4" t="s">
        <v>28</v>
      </c>
      <c r="L93" s="4" t="s">
        <v>31</v>
      </c>
      <c r="M93" s="5">
        <v>137856</v>
      </c>
      <c r="N93" s="4" t="s">
        <v>22</v>
      </c>
      <c r="O93" s="4" t="s">
        <v>23</v>
      </c>
      <c r="P93" s="4" t="s">
        <v>24</v>
      </c>
    </row>
    <row r="94" spans="1:16" x14ac:dyDescent="0.3">
      <c r="A94" s="2">
        <v>463</v>
      </c>
      <c r="B94" s="3">
        <v>44574</v>
      </c>
      <c r="C94" s="4" t="s">
        <v>46</v>
      </c>
      <c r="D94" s="4" t="s">
        <v>47</v>
      </c>
      <c r="E94" s="4" t="s">
        <v>18</v>
      </c>
      <c r="F94" s="2">
        <v>44</v>
      </c>
      <c r="G94" s="5">
        <v>6239</v>
      </c>
      <c r="H94" s="2">
        <v>13</v>
      </c>
      <c r="I94" s="2">
        <v>1</v>
      </c>
      <c r="J94" s="4" t="s">
        <v>19</v>
      </c>
      <c r="K94" s="4" t="s">
        <v>28</v>
      </c>
      <c r="L94" s="4" t="s">
        <v>31</v>
      </c>
      <c r="M94" s="5">
        <v>74868</v>
      </c>
      <c r="N94" s="4" t="s">
        <v>22</v>
      </c>
      <c r="O94" s="4" t="s">
        <v>23</v>
      </c>
      <c r="P94" s="4" t="s">
        <v>24</v>
      </c>
    </row>
    <row r="95" spans="1:16" x14ac:dyDescent="0.3">
      <c r="A95" s="2">
        <v>468</v>
      </c>
      <c r="B95" s="3">
        <v>41390</v>
      </c>
      <c r="C95" s="4" t="s">
        <v>37</v>
      </c>
      <c r="D95" s="4" t="s">
        <v>38</v>
      </c>
      <c r="E95" s="4" t="s">
        <v>27</v>
      </c>
      <c r="F95" s="2">
        <v>28</v>
      </c>
      <c r="G95" s="5">
        <v>4915</v>
      </c>
      <c r="H95" s="2">
        <v>8</v>
      </c>
      <c r="I95" s="2">
        <v>2</v>
      </c>
      <c r="J95" s="4" t="s">
        <v>19</v>
      </c>
      <c r="K95" s="4" t="s">
        <v>28</v>
      </c>
      <c r="L95" s="4" t="s">
        <v>39</v>
      </c>
      <c r="M95" s="5">
        <v>58980</v>
      </c>
      <c r="N95" s="4" t="s">
        <v>32</v>
      </c>
      <c r="O95" s="4" t="s">
        <v>23</v>
      </c>
      <c r="P95" s="4" t="s">
        <v>24</v>
      </c>
    </row>
    <row r="96" spans="1:16" x14ac:dyDescent="0.3">
      <c r="A96" s="2">
        <v>483</v>
      </c>
      <c r="B96" s="3">
        <v>40720</v>
      </c>
      <c r="C96" s="4" t="s">
        <v>25</v>
      </c>
      <c r="D96" s="4" t="s">
        <v>30</v>
      </c>
      <c r="E96" s="4" t="s">
        <v>18</v>
      </c>
      <c r="F96" s="2">
        <v>41</v>
      </c>
      <c r="G96" s="5">
        <v>12187</v>
      </c>
      <c r="H96" s="2">
        <v>15</v>
      </c>
      <c r="I96" s="2">
        <v>1</v>
      </c>
      <c r="J96" s="4" t="s">
        <v>35</v>
      </c>
      <c r="K96" s="4" t="s">
        <v>20</v>
      </c>
      <c r="L96" s="4" t="s">
        <v>31</v>
      </c>
      <c r="M96" s="5">
        <v>146244</v>
      </c>
      <c r="N96" s="4" t="s">
        <v>22</v>
      </c>
      <c r="O96" s="4" t="s">
        <v>23</v>
      </c>
      <c r="P96" s="4" t="s">
        <v>24</v>
      </c>
    </row>
    <row r="97" spans="1:16" x14ac:dyDescent="0.3">
      <c r="A97" s="2">
        <v>486</v>
      </c>
      <c r="B97" s="3">
        <v>44199</v>
      </c>
      <c r="C97" s="4" t="s">
        <v>44</v>
      </c>
      <c r="D97" s="4" t="s">
        <v>50</v>
      </c>
      <c r="E97" s="4" t="s">
        <v>27</v>
      </c>
      <c r="F97" s="2">
        <v>39</v>
      </c>
      <c r="G97" s="5">
        <v>15711</v>
      </c>
      <c r="H97" s="2">
        <v>11</v>
      </c>
      <c r="I97" s="2">
        <v>2</v>
      </c>
      <c r="J97" s="4" t="s">
        <v>35</v>
      </c>
      <c r="K97" s="4" t="s">
        <v>20</v>
      </c>
      <c r="L97" s="4" t="s">
        <v>21</v>
      </c>
      <c r="M97" s="5">
        <v>188532</v>
      </c>
      <c r="N97" s="4" t="s">
        <v>22</v>
      </c>
      <c r="O97" s="4" t="s">
        <v>23</v>
      </c>
      <c r="P97" s="4" t="s">
        <v>24</v>
      </c>
    </row>
    <row r="98" spans="1:16" x14ac:dyDescent="0.3">
      <c r="A98" s="2">
        <v>490</v>
      </c>
      <c r="B98" s="3">
        <v>42114</v>
      </c>
      <c r="C98" s="4" t="s">
        <v>44</v>
      </c>
      <c r="D98" s="4" t="s">
        <v>50</v>
      </c>
      <c r="E98" s="4" t="s">
        <v>18</v>
      </c>
      <c r="F98" s="2">
        <v>56</v>
      </c>
      <c r="G98" s="5">
        <v>7244</v>
      </c>
      <c r="H98" s="2">
        <v>13</v>
      </c>
      <c r="I98" s="2">
        <v>1</v>
      </c>
      <c r="J98" s="4" t="s">
        <v>19</v>
      </c>
      <c r="K98" s="4" t="s">
        <v>20</v>
      </c>
      <c r="L98" s="4" t="s">
        <v>21</v>
      </c>
      <c r="M98" s="5">
        <v>86928</v>
      </c>
      <c r="N98" s="4" t="s">
        <v>29</v>
      </c>
      <c r="O98" s="4" t="s">
        <v>23</v>
      </c>
      <c r="P98" s="4" t="s">
        <v>24</v>
      </c>
    </row>
    <row r="99" spans="1:16" x14ac:dyDescent="0.3">
      <c r="A99" s="2">
        <v>492</v>
      </c>
      <c r="B99" s="3">
        <v>41145</v>
      </c>
      <c r="C99" s="4" t="s">
        <v>16</v>
      </c>
      <c r="D99" s="4" t="s">
        <v>17</v>
      </c>
      <c r="E99" s="4" t="s">
        <v>18</v>
      </c>
      <c r="F99" s="2">
        <v>42</v>
      </c>
      <c r="G99" s="5">
        <v>13478</v>
      </c>
      <c r="H99" s="2">
        <v>9</v>
      </c>
      <c r="I99" s="2">
        <v>1</v>
      </c>
      <c r="J99" s="4" t="s">
        <v>19</v>
      </c>
      <c r="K99" s="4" t="s">
        <v>20</v>
      </c>
      <c r="L99" s="4" t="s">
        <v>39</v>
      </c>
      <c r="M99" s="5">
        <v>161736</v>
      </c>
      <c r="N99" s="4" t="s">
        <v>22</v>
      </c>
      <c r="O99" s="4" t="s">
        <v>23</v>
      </c>
      <c r="P99" s="4" t="s">
        <v>24</v>
      </c>
    </row>
    <row r="100" spans="1:16" x14ac:dyDescent="0.3">
      <c r="A100" s="2">
        <v>496</v>
      </c>
      <c r="B100" s="3">
        <v>44420</v>
      </c>
      <c r="C100" s="4" t="s">
        <v>33</v>
      </c>
      <c r="D100" s="4" t="s">
        <v>49</v>
      </c>
      <c r="E100" s="4" t="s">
        <v>27</v>
      </c>
      <c r="F100" s="2">
        <v>31</v>
      </c>
      <c r="G100" s="5">
        <v>10448</v>
      </c>
      <c r="H100" s="2">
        <v>10</v>
      </c>
      <c r="I100" s="2">
        <v>1</v>
      </c>
      <c r="J100" s="4" t="s">
        <v>19</v>
      </c>
      <c r="K100" s="4" t="s">
        <v>28</v>
      </c>
      <c r="L100" s="4" t="s">
        <v>39</v>
      </c>
      <c r="M100" s="5">
        <v>125376</v>
      </c>
      <c r="N100" s="4" t="s">
        <v>22</v>
      </c>
      <c r="O100" s="4" t="s">
        <v>23</v>
      </c>
      <c r="P100" s="4" t="s">
        <v>24</v>
      </c>
    </row>
    <row r="101" spans="1:16" x14ac:dyDescent="0.3">
      <c r="A101" s="2">
        <v>5</v>
      </c>
      <c r="B101" s="3">
        <v>44833</v>
      </c>
      <c r="C101" s="4" t="s">
        <v>44</v>
      </c>
      <c r="D101" s="4" t="s">
        <v>50</v>
      </c>
      <c r="E101" s="4" t="s">
        <v>18</v>
      </c>
      <c r="F101" s="2">
        <v>55</v>
      </c>
      <c r="G101" s="5">
        <v>16289</v>
      </c>
      <c r="H101" s="2">
        <v>15</v>
      </c>
      <c r="I101" s="2">
        <v>5</v>
      </c>
      <c r="J101" s="4" t="s">
        <v>35</v>
      </c>
      <c r="K101" s="4" t="s">
        <v>28</v>
      </c>
      <c r="L101" s="4" t="s">
        <v>31</v>
      </c>
      <c r="M101" s="5">
        <v>195468</v>
      </c>
      <c r="N101" s="4" t="s">
        <v>29</v>
      </c>
      <c r="O101" s="4" t="s">
        <v>23</v>
      </c>
      <c r="P101" s="4" t="s">
        <v>52</v>
      </c>
    </row>
    <row r="102" spans="1:16" x14ac:dyDescent="0.3">
      <c r="A102" s="2">
        <v>14</v>
      </c>
      <c r="B102" s="3">
        <v>42144</v>
      </c>
      <c r="C102" s="4" t="s">
        <v>44</v>
      </c>
      <c r="D102" s="4" t="s">
        <v>50</v>
      </c>
      <c r="E102" s="4" t="s">
        <v>18</v>
      </c>
      <c r="F102" s="2">
        <v>41</v>
      </c>
      <c r="G102" s="5">
        <v>5545</v>
      </c>
      <c r="H102" s="2">
        <v>13</v>
      </c>
      <c r="I102" s="2">
        <v>5</v>
      </c>
      <c r="J102" s="4" t="s">
        <v>19</v>
      </c>
      <c r="K102" s="4" t="s">
        <v>28</v>
      </c>
      <c r="L102" s="4" t="s">
        <v>39</v>
      </c>
      <c r="M102" s="5">
        <v>66540</v>
      </c>
      <c r="N102" s="4" t="s">
        <v>22</v>
      </c>
      <c r="O102" s="4" t="s">
        <v>23</v>
      </c>
      <c r="P102" s="4" t="s">
        <v>52</v>
      </c>
    </row>
    <row r="103" spans="1:16" x14ac:dyDescent="0.3">
      <c r="A103" s="2">
        <v>21</v>
      </c>
      <c r="B103" s="3">
        <v>43232</v>
      </c>
      <c r="C103" s="4" t="s">
        <v>33</v>
      </c>
      <c r="D103" s="4" t="s">
        <v>34</v>
      </c>
      <c r="E103" s="4" t="s">
        <v>18</v>
      </c>
      <c r="F103" s="2">
        <v>38</v>
      </c>
      <c r="G103" s="5">
        <v>14850</v>
      </c>
      <c r="H103" s="2">
        <v>15</v>
      </c>
      <c r="I103" s="2">
        <v>4</v>
      </c>
      <c r="J103" s="4" t="s">
        <v>35</v>
      </c>
      <c r="K103" s="4" t="s">
        <v>36</v>
      </c>
      <c r="L103" s="4" t="s">
        <v>31</v>
      </c>
      <c r="M103" s="5">
        <v>178200</v>
      </c>
      <c r="N103" s="4" t="s">
        <v>22</v>
      </c>
      <c r="O103" s="4" t="s">
        <v>23</v>
      </c>
      <c r="P103" s="4" t="s">
        <v>52</v>
      </c>
    </row>
    <row r="104" spans="1:16" x14ac:dyDescent="0.3">
      <c r="A104" s="2">
        <v>24</v>
      </c>
      <c r="B104" s="3">
        <v>43643</v>
      </c>
      <c r="C104" s="4" t="s">
        <v>16</v>
      </c>
      <c r="D104" s="4" t="s">
        <v>17</v>
      </c>
      <c r="E104" s="4" t="s">
        <v>18</v>
      </c>
      <c r="F104" s="2">
        <v>41</v>
      </c>
      <c r="G104" s="5">
        <v>14197</v>
      </c>
      <c r="H104" s="2">
        <v>9</v>
      </c>
      <c r="I104" s="2">
        <v>4</v>
      </c>
      <c r="J104" s="4" t="s">
        <v>35</v>
      </c>
      <c r="K104" s="4" t="s">
        <v>20</v>
      </c>
      <c r="L104" s="4" t="s">
        <v>31</v>
      </c>
      <c r="M104" s="5">
        <v>170364</v>
      </c>
      <c r="N104" s="4" t="s">
        <v>22</v>
      </c>
      <c r="O104" s="4" t="s">
        <v>23</v>
      </c>
      <c r="P104" s="4" t="s">
        <v>52</v>
      </c>
    </row>
    <row r="105" spans="1:16" x14ac:dyDescent="0.3">
      <c r="A105" s="2">
        <v>28</v>
      </c>
      <c r="B105" s="3">
        <v>42148</v>
      </c>
      <c r="C105" s="4" t="s">
        <v>33</v>
      </c>
      <c r="D105" s="4" t="s">
        <v>34</v>
      </c>
      <c r="E105" s="4" t="s">
        <v>18</v>
      </c>
      <c r="F105" s="2">
        <v>33</v>
      </c>
      <c r="G105" s="5">
        <v>6269</v>
      </c>
      <c r="H105" s="2">
        <v>15</v>
      </c>
      <c r="I105" s="2">
        <v>5</v>
      </c>
      <c r="J105" s="4" t="s">
        <v>19</v>
      </c>
      <c r="K105" s="4" t="s">
        <v>28</v>
      </c>
      <c r="L105" s="4" t="s">
        <v>42</v>
      </c>
      <c r="M105" s="5">
        <v>75228</v>
      </c>
      <c r="N105" s="4" t="s">
        <v>22</v>
      </c>
      <c r="O105" s="4" t="s">
        <v>23</v>
      </c>
      <c r="P105" s="4" t="s">
        <v>52</v>
      </c>
    </row>
    <row r="106" spans="1:16" x14ac:dyDescent="0.3">
      <c r="A106" s="2">
        <v>32</v>
      </c>
      <c r="B106" s="3">
        <v>42450</v>
      </c>
      <c r="C106" s="4" t="s">
        <v>16</v>
      </c>
      <c r="D106" s="4" t="s">
        <v>40</v>
      </c>
      <c r="E106" s="4" t="s">
        <v>18</v>
      </c>
      <c r="F106" s="2">
        <v>49</v>
      </c>
      <c r="G106" s="5">
        <v>19157</v>
      </c>
      <c r="H106" s="2">
        <v>13</v>
      </c>
      <c r="I106" s="2">
        <v>5</v>
      </c>
      <c r="J106" s="4" t="s">
        <v>19</v>
      </c>
      <c r="K106" s="4" t="s">
        <v>28</v>
      </c>
      <c r="L106" s="4" t="s">
        <v>42</v>
      </c>
      <c r="M106" s="5">
        <v>229884</v>
      </c>
      <c r="N106" s="4" t="s">
        <v>29</v>
      </c>
      <c r="O106" s="4" t="s">
        <v>23</v>
      </c>
      <c r="P106" s="4" t="s">
        <v>52</v>
      </c>
    </row>
    <row r="107" spans="1:16" x14ac:dyDescent="0.3">
      <c r="A107" s="2">
        <v>36</v>
      </c>
      <c r="B107" s="3">
        <v>40349</v>
      </c>
      <c r="C107" s="4" t="s">
        <v>33</v>
      </c>
      <c r="D107" s="4" t="s">
        <v>49</v>
      </c>
      <c r="E107" s="4" t="s">
        <v>27</v>
      </c>
      <c r="F107" s="2">
        <v>27</v>
      </c>
      <c r="G107" s="5">
        <v>11965</v>
      </c>
      <c r="H107" s="2">
        <v>12</v>
      </c>
      <c r="I107" s="2">
        <v>4</v>
      </c>
      <c r="J107" s="4" t="s">
        <v>19</v>
      </c>
      <c r="K107" s="4" t="s">
        <v>28</v>
      </c>
      <c r="L107" s="4" t="s">
        <v>42</v>
      </c>
      <c r="M107" s="5">
        <v>143580</v>
      </c>
      <c r="N107" s="4" t="s">
        <v>32</v>
      </c>
      <c r="O107" s="4" t="s">
        <v>23</v>
      </c>
      <c r="P107" s="4" t="s">
        <v>52</v>
      </c>
    </row>
    <row r="108" spans="1:16" x14ac:dyDescent="0.3">
      <c r="A108" s="2">
        <v>38</v>
      </c>
      <c r="B108" s="3">
        <v>43788</v>
      </c>
      <c r="C108" s="4" t="s">
        <v>25</v>
      </c>
      <c r="D108" s="4" t="s">
        <v>26</v>
      </c>
      <c r="E108" s="4" t="s">
        <v>18</v>
      </c>
      <c r="F108" s="2">
        <v>30</v>
      </c>
      <c r="G108" s="5">
        <v>13882</v>
      </c>
      <c r="H108" s="2">
        <v>13</v>
      </c>
      <c r="I108" s="2">
        <v>4</v>
      </c>
      <c r="J108" s="4" t="s">
        <v>35</v>
      </c>
      <c r="K108" s="4" t="s">
        <v>28</v>
      </c>
      <c r="L108" s="4" t="s">
        <v>43</v>
      </c>
      <c r="M108" s="5">
        <v>166584</v>
      </c>
      <c r="N108" s="4" t="s">
        <v>22</v>
      </c>
      <c r="O108" s="4" t="s">
        <v>23</v>
      </c>
      <c r="P108" s="4" t="s">
        <v>52</v>
      </c>
    </row>
    <row r="109" spans="1:16" x14ac:dyDescent="0.3">
      <c r="A109" s="2">
        <v>45</v>
      </c>
      <c r="B109" s="3">
        <v>44051</v>
      </c>
      <c r="C109" s="4" t="s">
        <v>37</v>
      </c>
      <c r="D109" s="4" t="s">
        <v>41</v>
      </c>
      <c r="E109" s="4" t="s">
        <v>27</v>
      </c>
      <c r="F109" s="2">
        <v>41</v>
      </c>
      <c r="G109" s="5">
        <v>14874</v>
      </c>
      <c r="H109" s="2">
        <v>9</v>
      </c>
      <c r="I109" s="2">
        <v>5</v>
      </c>
      <c r="J109" s="4" t="s">
        <v>35</v>
      </c>
      <c r="K109" s="4" t="s">
        <v>28</v>
      </c>
      <c r="L109" s="4" t="s">
        <v>39</v>
      </c>
      <c r="M109" s="5">
        <v>178488</v>
      </c>
      <c r="N109" s="4" t="s">
        <v>22</v>
      </c>
      <c r="O109" s="4" t="s">
        <v>23</v>
      </c>
      <c r="P109" s="4" t="s">
        <v>52</v>
      </c>
    </row>
    <row r="110" spans="1:16" x14ac:dyDescent="0.3">
      <c r="A110" s="2">
        <v>46</v>
      </c>
      <c r="B110" s="3">
        <v>44158</v>
      </c>
      <c r="C110" s="4" t="s">
        <v>46</v>
      </c>
      <c r="D110" s="4" t="s">
        <v>48</v>
      </c>
      <c r="E110" s="4" t="s">
        <v>27</v>
      </c>
      <c r="F110" s="2">
        <v>28</v>
      </c>
      <c r="G110" s="5">
        <v>16433</v>
      </c>
      <c r="H110" s="2">
        <v>12</v>
      </c>
      <c r="I110" s="2">
        <v>5</v>
      </c>
      <c r="J110" s="4" t="s">
        <v>35</v>
      </c>
      <c r="K110" s="4" t="s">
        <v>20</v>
      </c>
      <c r="L110" s="4" t="s">
        <v>42</v>
      </c>
      <c r="M110" s="5">
        <v>197196</v>
      </c>
      <c r="N110" s="4" t="s">
        <v>32</v>
      </c>
      <c r="O110" s="4" t="s">
        <v>23</v>
      </c>
      <c r="P110" s="4" t="s">
        <v>52</v>
      </c>
    </row>
    <row r="111" spans="1:16" x14ac:dyDescent="0.3">
      <c r="A111" s="2">
        <v>49</v>
      </c>
      <c r="B111" s="3">
        <v>43441</v>
      </c>
      <c r="C111" s="4" t="s">
        <v>37</v>
      </c>
      <c r="D111" s="4" t="s">
        <v>38</v>
      </c>
      <c r="E111" s="4" t="s">
        <v>27</v>
      </c>
      <c r="F111" s="2">
        <v>53</v>
      </c>
      <c r="G111" s="5">
        <v>11772</v>
      </c>
      <c r="H111" s="2">
        <v>11</v>
      </c>
      <c r="I111" s="2">
        <v>4</v>
      </c>
      <c r="J111" s="4" t="s">
        <v>19</v>
      </c>
      <c r="K111" s="4" t="s">
        <v>36</v>
      </c>
      <c r="L111" s="4" t="s">
        <v>43</v>
      </c>
      <c r="M111" s="5">
        <v>141264</v>
      </c>
      <c r="N111" s="4" t="s">
        <v>29</v>
      </c>
      <c r="O111" s="4" t="s">
        <v>23</v>
      </c>
      <c r="P111" s="4" t="s">
        <v>52</v>
      </c>
    </row>
    <row r="112" spans="1:16" x14ac:dyDescent="0.3">
      <c r="A112" s="2">
        <v>72</v>
      </c>
      <c r="B112" s="3">
        <v>41628</v>
      </c>
      <c r="C112" s="4" t="s">
        <v>25</v>
      </c>
      <c r="D112" s="4" t="s">
        <v>30</v>
      </c>
      <c r="E112" s="4" t="s">
        <v>18</v>
      </c>
      <c r="F112" s="2">
        <v>23</v>
      </c>
      <c r="G112" s="5">
        <v>17474</v>
      </c>
      <c r="H112" s="2">
        <v>12</v>
      </c>
      <c r="I112" s="2">
        <v>5</v>
      </c>
      <c r="J112" s="4" t="s">
        <v>19</v>
      </c>
      <c r="K112" s="4" t="s">
        <v>28</v>
      </c>
      <c r="L112" s="4" t="s">
        <v>42</v>
      </c>
      <c r="M112" s="5">
        <v>209688</v>
      </c>
      <c r="N112" s="4" t="s">
        <v>32</v>
      </c>
      <c r="O112" s="4" t="s">
        <v>23</v>
      </c>
      <c r="P112" s="4" t="s">
        <v>52</v>
      </c>
    </row>
    <row r="113" spans="1:16" x14ac:dyDescent="0.3">
      <c r="A113" s="2">
        <v>82</v>
      </c>
      <c r="B113" s="3">
        <v>44448</v>
      </c>
      <c r="C113" s="4" t="s">
        <v>44</v>
      </c>
      <c r="D113" s="4" t="s">
        <v>50</v>
      </c>
      <c r="E113" s="4" t="s">
        <v>27</v>
      </c>
      <c r="F113" s="2">
        <v>45</v>
      </c>
      <c r="G113" s="5">
        <v>17468</v>
      </c>
      <c r="H113" s="2">
        <v>13</v>
      </c>
      <c r="I113" s="2">
        <v>4</v>
      </c>
      <c r="J113" s="4" t="s">
        <v>19</v>
      </c>
      <c r="K113" s="4" t="s">
        <v>28</v>
      </c>
      <c r="L113" s="4" t="s">
        <v>42</v>
      </c>
      <c r="M113" s="5">
        <v>209616</v>
      </c>
      <c r="N113" s="4" t="s">
        <v>22</v>
      </c>
      <c r="O113" s="4" t="s">
        <v>23</v>
      </c>
      <c r="P113" s="4" t="s">
        <v>52</v>
      </c>
    </row>
    <row r="114" spans="1:16" x14ac:dyDescent="0.3">
      <c r="A114" s="2">
        <v>83</v>
      </c>
      <c r="B114" s="3">
        <v>40687</v>
      </c>
      <c r="C114" s="4" t="s">
        <v>16</v>
      </c>
      <c r="D114" s="4" t="s">
        <v>17</v>
      </c>
      <c r="E114" s="4" t="s">
        <v>27</v>
      </c>
      <c r="F114" s="2">
        <v>42</v>
      </c>
      <c r="G114" s="5">
        <v>6689</v>
      </c>
      <c r="H114" s="2">
        <v>13</v>
      </c>
      <c r="I114" s="2">
        <v>4</v>
      </c>
      <c r="J114" s="4" t="s">
        <v>19</v>
      </c>
      <c r="K114" s="4" t="s">
        <v>20</v>
      </c>
      <c r="L114" s="4" t="s">
        <v>43</v>
      </c>
      <c r="M114" s="5">
        <v>80268</v>
      </c>
      <c r="N114" s="4" t="s">
        <v>22</v>
      </c>
      <c r="O114" s="4" t="s">
        <v>23</v>
      </c>
      <c r="P114" s="4" t="s">
        <v>52</v>
      </c>
    </row>
    <row r="115" spans="1:16" x14ac:dyDescent="0.3">
      <c r="A115" s="2">
        <v>84</v>
      </c>
      <c r="B115" s="3">
        <v>43222</v>
      </c>
      <c r="C115" s="4" t="s">
        <v>16</v>
      </c>
      <c r="D115" s="4" t="s">
        <v>17</v>
      </c>
      <c r="E115" s="4" t="s">
        <v>27</v>
      </c>
      <c r="F115" s="2">
        <v>58</v>
      </c>
      <c r="G115" s="5">
        <v>8586</v>
      </c>
      <c r="H115" s="2">
        <v>14</v>
      </c>
      <c r="I115" s="2">
        <v>4</v>
      </c>
      <c r="J115" s="4" t="s">
        <v>19</v>
      </c>
      <c r="K115" s="4" t="s">
        <v>28</v>
      </c>
      <c r="L115" s="4" t="s">
        <v>43</v>
      </c>
      <c r="M115" s="5">
        <v>103032</v>
      </c>
      <c r="N115" s="4" t="s">
        <v>29</v>
      </c>
      <c r="O115" s="4" t="s">
        <v>23</v>
      </c>
      <c r="P115" s="4" t="s">
        <v>52</v>
      </c>
    </row>
    <row r="116" spans="1:16" x14ac:dyDescent="0.3">
      <c r="A116" s="2">
        <v>97</v>
      </c>
      <c r="B116" s="3">
        <v>42989</v>
      </c>
      <c r="C116" s="4" t="s">
        <v>25</v>
      </c>
      <c r="D116" s="4" t="s">
        <v>26</v>
      </c>
      <c r="E116" s="4" t="s">
        <v>27</v>
      </c>
      <c r="F116" s="2">
        <v>32</v>
      </c>
      <c r="G116" s="5">
        <v>19440</v>
      </c>
      <c r="H116" s="2">
        <v>10</v>
      </c>
      <c r="I116" s="2">
        <v>4</v>
      </c>
      <c r="J116" s="4" t="s">
        <v>19</v>
      </c>
      <c r="K116" s="4" t="s">
        <v>36</v>
      </c>
      <c r="L116" s="4" t="s">
        <v>21</v>
      </c>
      <c r="M116" s="5">
        <v>233280</v>
      </c>
      <c r="N116" s="4" t="s">
        <v>22</v>
      </c>
      <c r="O116" s="4" t="s">
        <v>23</v>
      </c>
      <c r="P116" s="4" t="s">
        <v>52</v>
      </c>
    </row>
    <row r="117" spans="1:16" x14ac:dyDescent="0.3">
      <c r="A117" s="2">
        <v>98</v>
      </c>
      <c r="B117" s="3">
        <v>43220</v>
      </c>
      <c r="C117" s="4" t="s">
        <v>16</v>
      </c>
      <c r="D117" s="4" t="s">
        <v>40</v>
      </c>
      <c r="E117" s="4" t="s">
        <v>27</v>
      </c>
      <c r="F117" s="2">
        <v>28</v>
      </c>
      <c r="G117" s="5">
        <v>6435</v>
      </c>
      <c r="H117" s="2">
        <v>8</v>
      </c>
      <c r="I117" s="2">
        <v>5</v>
      </c>
      <c r="J117" s="4" t="s">
        <v>19</v>
      </c>
      <c r="K117" s="4" t="s">
        <v>20</v>
      </c>
      <c r="L117" s="4" t="s">
        <v>21</v>
      </c>
      <c r="M117" s="5">
        <v>77220</v>
      </c>
      <c r="N117" s="4" t="s">
        <v>32</v>
      </c>
      <c r="O117" s="4" t="s">
        <v>23</v>
      </c>
      <c r="P117" s="4" t="s">
        <v>52</v>
      </c>
    </row>
    <row r="118" spans="1:16" x14ac:dyDescent="0.3">
      <c r="A118" s="2">
        <v>105</v>
      </c>
      <c r="B118" s="3">
        <v>40675</v>
      </c>
      <c r="C118" s="4" t="s">
        <v>33</v>
      </c>
      <c r="D118" s="4" t="s">
        <v>34</v>
      </c>
      <c r="E118" s="4" t="s">
        <v>18</v>
      </c>
      <c r="F118" s="2">
        <v>42</v>
      </c>
      <c r="G118" s="5">
        <v>5370</v>
      </c>
      <c r="H118" s="2">
        <v>9</v>
      </c>
      <c r="I118" s="2">
        <v>5</v>
      </c>
      <c r="J118" s="4" t="s">
        <v>35</v>
      </c>
      <c r="K118" s="4" t="s">
        <v>36</v>
      </c>
      <c r="L118" s="4" t="s">
        <v>42</v>
      </c>
      <c r="M118" s="5">
        <v>64440</v>
      </c>
      <c r="N118" s="4" t="s">
        <v>22</v>
      </c>
      <c r="O118" s="4" t="s">
        <v>23</v>
      </c>
      <c r="P118" s="4" t="s">
        <v>52</v>
      </c>
    </row>
    <row r="119" spans="1:16" x14ac:dyDescent="0.3">
      <c r="A119" s="2">
        <v>108</v>
      </c>
      <c r="B119" s="3">
        <v>42197</v>
      </c>
      <c r="C119" s="4" t="s">
        <v>16</v>
      </c>
      <c r="D119" s="4" t="s">
        <v>40</v>
      </c>
      <c r="E119" s="4" t="s">
        <v>18</v>
      </c>
      <c r="F119" s="2">
        <v>60</v>
      </c>
      <c r="G119" s="5">
        <v>9428</v>
      </c>
      <c r="H119" s="2">
        <v>8</v>
      </c>
      <c r="I119" s="2">
        <v>5</v>
      </c>
      <c r="J119" s="4" t="s">
        <v>35</v>
      </c>
      <c r="K119" s="4" t="s">
        <v>28</v>
      </c>
      <c r="L119" s="4" t="s">
        <v>31</v>
      </c>
      <c r="M119" s="5">
        <v>113136</v>
      </c>
      <c r="N119" s="4" t="s">
        <v>29</v>
      </c>
      <c r="O119" s="4" t="s">
        <v>23</v>
      </c>
      <c r="P119" s="4" t="s">
        <v>52</v>
      </c>
    </row>
    <row r="120" spans="1:16" x14ac:dyDescent="0.3">
      <c r="A120" s="2">
        <v>110</v>
      </c>
      <c r="B120" s="3">
        <v>43278</v>
      </c>
      <c r="C120" s="4" t="s">
        <v>33</v>
      </c>
      <c r="D120" s="4" t="s">
        <v>34</v>
      </c>
      <c r="E120" s="4" t="s">
        <v>18</v>
      </c>
      <c r="F120" s="2">
        <v>44</v>
      </c>
      <c r="G120" s="5">
        <v>11736</v>
      </c>
      <c r="H120" s="2">
        <v>15</v>
      </c>
      <c r="I120" s="2">
        <v>4</v>
      </c>
      <c r="J120" s="4" t="s">
        <v>19</v>
      </c>
      <c r="K120" s="4" t="s">
        <v>28</v>
      </c>
      <c r="L120" s="4" t="s">
        <v>43</v>
      </c>
      <c r="M120" s="5">
        <v>140832</v>
      </c>
      <c r="N120" s="4" t="s">
        <v>22</v>
      </c>
      <c r="O120" s="4" t="s">
        <v>23</v>
      </c>
      <c r="P120" s="4" t="s">
        <v>52</v>
      </c>
    </row>
    <row r="121" spans="1:16" x14ac:dyDescent="0.3">
      <c r="A121" s="2">
        <v>117</v>
      </c>
      <c r="B121" s="3">
        <v>41477</v>
      </c>
      <c r="C121" s="4" t="s">
        <v>33</v>
      </c>
      <c r="D121" s="4" t="s">
        <v>34</v>
      </c>
      <c r="E121" s="4" t="s">
        <v>18</v>
      </c>
      <c r="F121" s="2">
        <v>59</v>
      </c>
      <c r="G121" s="5">
        <v>17664</v>
      </c>
      <c r="H121" s="2">
        <v>14</v>
      </c>
      <c r="I121" s="2">
        <v>4</v>
      </c>
      <c r="J121" s="4" t="s">
        <v>19</v>
      </c>
      <c r="K121" s="4" t="s">
        <v>20</v>
      </c>
      <c r="L121" s="4" t="s">
        <v>43</v>
      </c>
      <c r="M121" s="5">
        <v>211968</v>
      </c>
      <c r="N121" s="4" t="s">
        <v>29</v>
      </c>
      <c r="O121" s="4" t="s">
        <v>23</v>
      </c>
      <c r="P121" s="4" t="s">
        <v>52</v>
      </c>
    </row>
    <row r="122" spans="1:16" x14ac:dyDescent="0.3">
      <c r="A122" s="2">
        <v>121</v>
      </c>
      <c r="B122" s="3">
        <v>40643</v>
      </c>
      <c r="C122" s="4" t="s">
        <v>16</v>
      </c>
      <c r="D122" s="4" t="s">
        <v>40</v>
      </c>
      <c r="E122" s="4" t="s">
        <v>27</v>
      </c>
      <c r="F122" s="2">
        <v>28</v>
      </c>
      <c r="G122" s="5">
        <v>8191</v>
      </c>
      <c r="H122" s="2">
        <v>14</v>
      </c>
      <c r="I122" s="2">
        <v>4</v>
      </c>
      <c r="J122" s="4" t="s">
        <v>35</v>
      </c>
      <c r="K122" s="4" t="s">
        <v>20</v>
      </c>
      <c r="L122" s="4" t="s">
        <v>43</v>
      </c>
      <c r="M122" s="5">
        <v>98292</v>
      </c>
      <c r="N122" s="4" t="s">
        <v>32</v>
      </c>
      <c r="O122" s="4" t="s">
        <v>23</v>
      </c>
      <c r="P122" s="4" t="s">
        <v>52</v>
      </c>
    </row>
    <row r="123" spans="1:16" x14ac:dyDescent="0.3">
      <c r="A123" s="2">
        <v>123</v>
      </c>
      <c r="B123" s="3">
        <v>44066</v>
      </c>
      <c r="C123" s="4" t="s">
        <v>16</v>
      </c>
      <c r="D123" s="4" t="s">
        <v>17</v>
      </c>
      <c r="E123" s="4" t="s">
        <v>18</v>
      </c>
      <c r="F123" s="2">
        <v>22</v>
      </c>
      <c r="G123" s="5">
        <v>6541</v>
      </c>
      <c r="H123" s="2">
        <v>14</v>
      </c>
      <c r="I123" s="2">
        <v>5</v>
      </c>
      <c r="J123" s="4" t="s">
        <v>19</v>
      </c>
      <c r="K123" s="4" t="s">
        <v>36</v>
      </c>
      <c r="L123" s="4" t="s">
        <v>39</v>
      </c>
      <c r="M123" s="5">
        <v>78492</v>
      </c>
      <c r="N123" s="4" t="s">
        <v>32</v>
      </c>
      <c r="O123" s="4" t="s">
        <v>23</v>
      </c>
      <c r="P123" s="4" t="s">
        <v>52</v>
      </c>
    </row>
    <row r="124" spans="1:16" x14ac:dyDescent="0.3">
      <c r="A124" s="2">
        <v>130</v>
      </c>
      <c r="B124" s="3">
        <v>44348</v>
      </c>
      <c r="C124" s="4" t="s">
        <v>16</v>
      </c>
      <c r="D124" s="4" t="s">
        <v>17</v>
      </c>
      <c r="E124" s="4" t="s">
        <v>18</v>
      </c>
      <c r="F124" s="2">
        <v>24</v>
      </c>
      <c r="G124" s="5">
        <v>18541</v>
      </c>
      <c r="H124" s="2">
        <v>12</v>
      </c>
      <c r="I124" s="2">
        <v>4</v>
      </c>
      <c r="J124" s="4" t="s">
        <v>19</v>
      </c>
      <c r="K124" s="4" t="s">
        <v>28</v>
      </c>
      <c r="L124" s="4" t="s">
        <v>31</v>
      </c>
      <c r="M124" s="5">
        <v>222492</v>
      </c>
      <c r="N124" s="4" t="s">
        <v>32</v>
      </c>
      <c r="O124" s="4" t="s">
        <v>23</v>
      </c>
      <c r="P124" s="4" t="s">
        <v>52</v>
      </c>
    </row>
    <row r="125" spans="1:16" x14ac:dyDescent="0.3">
      <c r="A125" s="2">
        <v>131</v>
      </c>
      <c r="B125" s="3">
        <v>40349</v>
      </c>
      <c r="C125" s="4" t="s">
        <v>46</v>
      </c>
      <c r="D125" s="4" t="s">
        <v>48</v>
      </c>
      <c r="E125" s="4" t="s">
        <v>27</v>
      </c>
      <c r="F125" s="2">
        <v>26</v>
      </c>
      <c r="G125" s="5">
        <v>4425</v>
      </c>
      <c r="H125" s="2">
        <v>9</v>
      </c>
      <c r="I125" s="2">
        <v>4</v>
      </c>
      <c r="J125" s="4" t="s">
        <v>19</v>
      </c>
      <c r="K125" s="4" t="s">
        <v>28</v>
      </c>
      <c r="L125" s="4" t="s">
        <v>43</v>
      </c>
      <c r="M125" s="5">
        <v>53100</v>
      </c>
      <c r="N125" s="4" t="s">
        <v>32</v>
      </c>
      <c r="O125" s="4" t="s">
        <v>23</v>
      </c>
      <c r="P125" s="4" t="s">
        <v>52</v>
      </c>
    </row>
    <row r="126" spans="1:16" x14ac:dyDescent="0.3">
      <c r="A126" s="2">
        <v>133</v>
      </c>
      <c r="B126" s="3">
        <v>43345</v>
      </c>
      <c r="C126" s="4" t="s">
        <v>44</v>
      </c>
      <c r="D126" s="4" t="s">
        <v>50</v>
      </c>
      <c r="E126" s="4" t="s">
        <v>18</v>
      </c>
      <c r="F126" s="2">
        <v>52</v>
      </c>
      <c r="G126" s="5">
        <v>9881</v>
      </c>
      <c r="H126" s="2">
        <v>12</v>
      </c>
      <c r="I126" s="2">
        <v>4</v>
      </c>
      <c r="J126" s="4" t="s">
        <v>19</v>
      </c>
      <c r="K126" s="4" t="s">
        <v>36</v>
      </c>
      <c r="L126" s="4" t="s">
        <v>31</v>
      </c>
      <c r="M126" s="5">
        <v>118572</v>
      </c>
      <c r="N126" s="4" t="s">
        <v>29</v>
      </c>
      <c r="O126" s="4" t="s">
        <v>23</v>
      </c>
      <c r="P126" s="4" t="s">
        <v>52</v>
      </c>
    </row>
    <row r="127" spans="1:16" x14ac:dyDescent="0.3">
      <c r="A127" s="2">
        <v>135</v>
      </c>
      <c r="B127" s="3">
        <v>42065</v>
      </c>
      <c r="C127" s="4" t="s">
        <v>46</v>
      </c>
      <c r="D127" s="4" t="s">
        <v>48</v>
      </c>
      <c r="E127" s="4" t="s">
        <v>27</v>
      </c>
      <c r="F127" s="2">
        <v>24</v>
      </c>
      <c r="G127" s="5">
        <v>17355</v>
      </c>
      <c r="H127" s="2">
        <v>10</v>
      </c>
      <c r="I127" s="2">
        <v>5</v>
      </c>
      <c r="J127" s="4" t="s">
        <v>19</v>
      </c>
      <c r="K127" s="4" t="s">
        <v>20</v>
      </c>
      <c r="L127" s="4" t="s">
        <v>42</v>
      </c>
      <c r="M127" s="5">
        <v>208260</v>
      </c>
      <c r="N127" s="4" t="s">
        <v>32</v>
      </c>
      <c r="O127" s="4" t="s">
        <v>23</v>
      </c>
      <c r="P127" s="4" t="s">
        <v>52</v>
      </c>
    </row>
    <row r="128" spans="1:16" x14ac:dyDescent="0.3">
      <c r="A128" s="2">
        <v>148</v>
      </c>
      <c r="B128" s="3">
        <v>40733</v>
      </c>
      <c r="C128" s="4" t="s">
        <v>33</v>
      </c>
      <c r="D128" s="4" t="s">
        <v>34</v>
      </c>
      <c r="E128" s="4" t="s">
        <v>18</v>
      </c>
      <c r="F128" s="2">
        <v>32</v>
      </c>
      <c r="G128" s="5">
        <v>5336</v>
      </c>
      <c r="H128" s="2">
        <v>13</v>
      </c>
      <c r="I128" s="2">
        <v>4</v>
      </c>
      <c r="J128" s="4" t="s">
        <v>19</v>
      </c>
      <c r="K128" s="4" t="s">
        <v>28</v>
      </c>
      <c r="L128" s="4" t="s">
        <v>42</v>
      </c>
      <c r="M128" s="5">
        <v>64032</v>
      </c>
      <c r="N128" s="4" t="s">
        <v>22</v>
      </c>
      <c r="O128" s="4" t="s">
        <v>23</v>
      </c>
      <c r="P128" s="4" t="s">
        <v>52</v>
      </c>
    </row>
    <row r="129" spans="1:16" x14ac:dyDescent="0.3">
      <c r="A129" s="2">
        <v>163</v>
      </c>
      <c r="B129" s="3">
        <v>44718</v>
      </c>
      <c r="C129" s="4" t="s">
        <v>16</v>
      </c>
      <c r="D129" s="4" t="s">
        <v>17</v>
      </c>
      <c r="E129" s="4" t="s">
        <v>18</v>
      </c>
      <c r="F129" s="2">
        <v>60</v>
      </c>
      <c r="G129" s="5">
        <v>18191</v>
      </c>
      <c r="H129" s="2">
        <v>8</v>
      </c>
      <c r="I129" s="2">
        <v>5</v>
      </c>
      <c r="J129" s="4" t="s">
        <v>19</v>
      </c>
      <c r="K129" s="4" t="s">
        <v>28</v>
      </c>
      <c r="L129" s="4" t="s">
        <v>31</v>
      </c>
      <c r="M129" s="5">
        <v>218292</v>
      </c>
      <c r="N129" s="4" t="s">
        <v>29</v>
      </c>
      <c r="O129" s="4" t="s">
        <v>23</v>
      </c>
      <c r="P129" s="4" t="s">
        <v>52</v>
      </c>
    </row>
    <row r="130" spans="1:16" x14ac:dyDescent="0.3">
      <c r="A130" s="2">
        <v>176</v>
      </c>
      <c r="B130" s="3">
        <v>43363</v>
      </c>
      <c r="C130" s="4" t="s">
        <v>25</v>
      </c>
      <c r="D130" s="4" t="s">
        <v>26</v>
      </c>
      <c r="E130" s="4" t="s">
        <v>27</v>
      </c>
      <c r="F130" s="2">
        <v>46</v>
      </c>
      <c r="G130" s="5">
        <v>11618</v>
      </c>
      <c r="H130" s="2">
        <v>11</v>
      </c>
      <c r="I130" s="2">
        <v>4</v>
      </c>
      <c r="J130" s="4" t="s">
        <v>35</v>
      </c>
      <c r="K130" s="4" t="s">
        <v>28</v>
      </c>
      <c r="L130" s="4" t="s">
        <v>39</v>
      </c>
      <c r="M130" s="5">
        <v>139416</v>
      </c>
      <c r="N130" s="4" t="s">
        <v>29</v>
      </c>
      <c r="O130" s="4" t="s">
        <v>23</v>
      </c>
      <c r="P130" s="4" t="s">
        <v>52</v>
      </c>
    </row>
    <row r="131" spans="1:16" x14ac:dyDescent="0.3">
      <c r="A131" s="2">
        <v>179</v>
      </c>
      <c r="B131" s="3">
        <v>44119</v>
      </c>
      <c r="C131" s="4" t="s">
        <v>25</v>
      </c>
      <c r="D131" s="4" t="s">
        <v>26</v>
      </c>
      <c r="E131" s="4" t="s">
        <v>18</v>
      </c>
      <c r="F131" s="2">
        <v>45</v>
      </c>
      <c r="G131" s="5">
        <v>5571</v>
      </c>
      <c r="H131" s="2">
        <v>13</v>
      </c>
      <c r="I131" s="2">
        <v>4</v>
      </c>
      <c r="J131" s="4" t="s">
        <v>19</v>
      </c>
      <c r="K131" s="4" t="s">
        <v>20</v>
      </c>
      <c r="L131" s="4" t="s">
        <v>43</v>
      </c>
      <c r="M131" s="5">
        <v>66852</v>
      </c>
      <c r="N131" s="4" t="s">
        <v>22</v>
      </c>
      <c r="O131" s="4" t="s">
        <v>23</v>
      </c>
      <c r="P131" s="4" t="s">
        <v>52</v>
      </c>
    </row>
    <row r="132" spans="1:16" x14ac:dyDescent="0.3">
      <c r="A132" s="2">
        <v>180</v>
      </c>
      <c r="B132" s="3">
        <v>40892</v>
      </c>
      <c r="C132" s="4" t="s">
        <v>25</v>
      </c>
      <c r="D132" s="4" t="s">
        <v>30</v>
      </c>
      <c r="E132" s="4" t="s">
        <v>27</v>
      </c>
      <c r="F132" s="2">
        <v>54</v>
      </c>
      <c r="G132" s="5">
        <v>6306</v>
      </c>
      <c r="H132" s="2">
        <v>8</v>
      </c>
      <c r="I132" s="2">
        <v>5</v>
      </c>
      <c r="J132" s="4" t="s">
        <v>35</v>
      </c>
      <c r="K132" s="4" t="s">
        <v>28</v>
      </c>
      <c r="L132" s="4" t="s">
        <v>43</v>
      </c>
      <c r="M132" s="5">
        <v>75672</v>
      </c>
      <c r="N132" s="4" t="s">
        <v>29</v>
      </c>
      <c r="O132" s="4" t="s">
        <v>23</v>
      </c>
      <c r="P132" s="4" t="s">
        <v>52</v>
      </c>
    </row>
    <row r="133" spans="1:16" x14ac:dyDescent="0.3">
      <c r="A133" s="2">
        <v>181</v>
      </c>
      <c r="B133" s="3">
        <v>40668</v>
      </c>
      <c r="C133" s="4" t="s">
        <v>44</v>
      </c>
      <c r="D133" s="4" t="s">
        <v>45</v>
      </c>
      <c r="E133" s="4" t="s">
        <v>18</v>
      </c>
      <c r="F133" s="2">
        <v>59</v>
      </c>
      <c r="G133" s="5">
        <v>13963</v>
      </c>
      <c r="H133" s="2">
        <v>10</v>
      </c>
      <c r="I133" s="2">
        <v>4</v>
      </c>
      <c r="J133" s="4" t="s">
        <v>35</v>
      </c>
      <c r="K133" s="4" t="s">
        <v>28</v>
      </c>
      <c r="L133" s="4" t="s">
        <v>21</v>
      </c>
      <c r="M133" s="5">
        <v>167556</v>
      </c>
      <c r="N133" s="4" t="s">
        <v>29</v>
      </c>
      <c r="O133" s="4" t="s">
        <v>23</v>
      </c>
      <c r="P133" s="4" t="s">
        <v>52</v>
      </c>
    </row>
    <row r="134" spans="1:16" x14ac:dyDescent="0.3">
      <c r="A134" s="2">
        <v>182</v>
      </c>
      <c r="B134" s="3">
        <v>42493</v>
      </c>
      <c r="C134" s="4" t="s">
        <v>46</v>
      </c>
      <c r="D134" s="4" t="s">
        <v>51</v>
      </c>
      <c r="E134" s="4" t="s">
        <v>27</v>
      </c>
      <c r="F134" s="2">
        <v>29</v>
      </c>
      <c r="G134" s="5">
        <v>19266</v>
      </c>
      <c r="H134" s="2">
        <v>14</v>
      </c>
      <c r="I134" s="2">
        <v>4</v>
      </c>
      <c r="J134" s="4" t="s">
        <v>19</v>
      </c>
      <c r="K134" s="4" t="s">
        <v>36</v>
      </c>
      <c r="L134" s="4" t="s">
        <v>43</v>
      </c>
      <c r="M134" s="5">
        <v>231192</v>
      </c>
      <c r="N134" s="4" t="s">
        <v>32</v>
      </c>
      <c r="O134" s="4" t="s">
        <v>23</v>
      </c>
      <c r="P134" s="4" t="s">
        <v>52</v>
      </c>
    </row>
    <row r="135" spans="1:16" x14ac:dyDescent="0.3">
      <c r="A135" s="2">
        <v>183</v>
      </c>
      <c r="B135" s="3">
        <v>43962</v>
      </c>
      <c r="C135" s="4" t="s">
        <v>16</v>
      </c>
      <c r="D135" s="4" t="s">
        <v>40</v>
      </c>
      <c r="E135" s="4" t="s">
        <v>18</v>
      </c>
      <c r="F135" s="2">
        <v>28</v>
      </c>
      <c r="G135" s="5">
        <v>13020</v>
      </c>
      <c r="H135" s="2">
        <v>8</v>
      </c>
      <c r="I135" s="2">
        <v>5</v>
      </c>
      <c r="J135" s="4" t="s">
        <v>35</v>
      </c>
      <c r="K135" s="4" t="s">
        <v>28</v>
      </c>
      <c r="L135" s="4" t="s">
        <v>21</v>
      </c>
      <c r="M135" s="5">
        <v>156240</v>
      </c>
      <c r="N135" s="4" t="s">
        <v>32</v>
      </c>
      <c r="O135" s="4" t="s">
        <v>23</v>
      </c>
      <c r="P135" s="4" t="s">
        <v>52</v>
      </c>
    </row>
    <row r="136" spans="1:16" x14ac:dyDescent="0.3">
      <c r="A136" s="2">
        <v>199</v>
      </c>
      <c r="B136" s="3">
        <v>40584</v>
      </c>
      <c r="C136" s="4" t="s">
        <v>16</v>
      </c>
      <c r="D136" s="4" t="s">
        <v>17</v>
      </c>
      <c r="E136" s="4" t="s">
        <v>18</v>
      </c>
      <c r="F136" s="2">
        <v>43</v>
      </c>
      <c r="G136" s="5">
        <v>17290</v>
      </c>
      <c r="H136" s="2">
        <v>11</v>
      </c>
      <c r="I136" s="2">
        <v>4</v>
      </c>
      <c r="J136" s="4" t="s">
        <v>35</v>
      </c>
      <c r="K136" s="4" t="s">
        <v>36</v>
      </c>
      <c r="L136" s="4" t="s">
        <v>42</v>
      </c>
      <c r="M136" s="5">
        <v>207480</v>
      </c>
      <c r="N136" s="4" t="s">
        <v>22</v>
      </c>
      <c r="O136" s="4" t="s">
        <v>23</v>
      </c>
      <c r="P136" s="4" t="s">
        <v>52</v>
      </c>
    </row>
    <row r="137" spans="1:16" x14ac:dyDescent="0.3">
      <c r="A137" s="2">
        <v>207</v>
      </c>
      <c r="B137" s="3">
        <v>41907</v>
      </c>
      <c r="C137" s="4" t="s">
        <v>44</v>
      </c>
      <c r="D137" s="4" t="s">
        <v>45</v>
      </c>
      <c r="E137" s="4" t="s">
        <v>18</v>
      </c>
      <c r="F137" s="2">
        <v>23</v>
      </c>
      <c r="G137" s="5">
        <v>12914</v>
      </c>
      <c r="H137" s="2">
        <v>15</v>
      </c>
      <c r="I137" s="2">
        <v>5</v>
      </c>
      <c r="J137" s="4" t="s">
        <v>35</v>
      </c>
      <c r="K137" s="4" t="s">
        <v>36</v>
      </c>
      <c r="L137" s="4" t="s">
        <v>21</v>
      </c>
      <c r="M137" s="5">
        <v>154968</v>
      </c>
      <c r="N137" s="4" t="s">
        <v>32</v>
      </c>
      <c r="O137" s="4" t="s">
        <v>23</v>
      </c>
      <c r="P137" s="4" t="s">
        <v>52</v>
      </c>
    </row>
    <row r="138" spans="1:16" x14ac:dyDescent="0.3">
      <c r="A138" s="2">
        <v>208</v>
      </c>
      <c r="B138" s="3">
        <v>41061</v>
      </c>
      <c r="C138" s="4" t="s">
        <v>25</v>
      </c>
      <c r="D138" s="4" t="s">
        <v>26</v>
      </c>
      <c r="E138" s="4" t="s">
        <v>18</v>
      </c>
      <c r="F138" s="2">
        <v>41</v>
      </c>
      <c r="G138" s="5">
        <v>19866</v>
      </c>
      <c r="H138" s="2">
        <v>9</v>
      </c>
      <c r="I138" s="2">
        <v>4</v>
      </c>
      <c r="J138" s="4" t="s">
        <v>35</v>
      </c>
      <c r="K138" s="4" t="s">
        <v>36</v>
      </c>
      <c r="L138" s="4" t="s">
        <v>39</v>
      </c>
      <c r="M138" s="5">
        <v>238392</v>
      </c>
      <c r="N138" s="4" t="s">
        <v>22</v>
      </c>
      <c r="O138" s="4" t="s">
        <v>23</v>
      </c>
      <c r="P138" s="4" t="s">
        <v>52</v>
      </c>
    </row>
    <row r="139" spans="1:16" x14ac:dyDescent="0.3">
      <c r="A139" s="2">
        <v>214</v>
      </c>
      <c r="B139" s="3">
        <v>42010</v>
      </c>
      <c r="C139" s="4" t="s">
        <v>46</v>
      </c>
      <c r="D139" s="4" t="s">
        <v>47</v>
      </c>
      <c r="E139" s="4" t="s">
        <v>18</v>
      </c>
      <c r="F139" s="2">
        <v>51</v>
      </c>
      <c r="G139" s="5">
        <v>7713</v>
      </c>
      <c r="H139" s="2">
        <v>12</v>
      </c>
      <c r="I139" s="2">
        <v>4</v>
      </c>
      <c r="J139" s="4" t="s">
        <v>35</v>
      </c>
      <c r="K139" s="4" t="s">
        <v>20</v>
      </c>
      <c r="L139" s="4" t="s">
        <v>39</v>
      </c>
      <c r="M139" s="5">
        <v>92556</v>
      </c>
      <c r="N139" s="4" t="s">
        <v>29</v>
      </c>
      <c r="O139" s="4" t="s">
        <v>23</v>
      </c>
      <c r="P139" s="4" t="s">
        <v>52</v>
      </c>
    </row>
    <row r="140" spans="1:16" x14ac:dyDescent="0.3">
      <c r="A140" s="2">
        <v>219</v>
      </c>
      <c r="B140" s="3">
        <v>43389</v>
      </c>
      <c r="C140" s="4" t="s">
        <v>25</v>
      </c>
      <c r="D140" s="4" t="s">
        <v>30</v>
      </c>
      <c r="E140" s="4" t="s">
        <v>27</v>
      </c>
      <c r="F140" s="2">
        <v>49</v>
      </c>
      <c r="G140" s="5">
        <v>11311</v>
      </c>
      <c r="H140" s="2">
        <v>14</v>
      </c>
      <c r="I140" s="2">
        <v>5</v>
      </c>
      <c r="J140" s="4" t="s">
        <v>19</v>
      </c>
      <c r="K140" s="4" t="s">
        <v>36</v>
      </c>
      <c r="L140" s="4" t="s">
        <v>39</v>
      </c>
      <c r="M140" s="5">
        <v>135732</v>
      </c>
      <c r="N140" s="4" t="s">
        <v>29</v>
      </c>
      <c r="O140" s="4" t="s">
        <v>23</v>
      </c>
      <c r="P140" s="4" t="s">
        <v>52</v>
      </c>
    </row>
    <row r="141" spans="1:16" x14ac:dyDescent="0.3">
      <c r="A141" s="2">
        <v>220</v>
      </c>
      <c r="B141" s="3">
        <v>43420</v>
      </c>
      <c r="C141" s="4" t="s">
        <v>46</v>
      </c>
      <c r="D141" s="4" t="s">
        <v>48</v>
      </c>
      <c r="E141" s="4" t="s">
        <v>27</v>
      </c>
      <c r="F141" s="2">
        <v>49</v>
      </c>
      <c r="G141" s="5">
        <v>12562</v>
      </c>
      <c r="H141" s="2">
        <v>8</v>
      </c>
      <c r="I141" s="2">
        <v>4</v>
      </c>
      <c r="J141" s="4" t="s">
        <v>35</v>
      </c>
      <c r="K141" s="4" t="s">
        <v>36</v>
      </c>
      <c r="L141" s="4" t="s">
        <v>21</v>
      </c>
      <c r="M141" s="5">
        <v>150744</v>
      </c>
      <c r="N141" s="4" t="s">
        <v>29</v>
      </c>
      <c r="O141" s="4" t="s">
        <v>23</v>
      </c>
      <c r="P141" s="4" t="s">
        <v>52</v>
      </c>
    </row>
    <row r="142" spans="1:16" x14ac:dyDescent="0.3">
      <c r="A142" s="2">
        <v>224</v>
      </c>
      <c r="B142" s="3">
        <v>44277</v>
      </c>
      <c r="C142" s="4" t="s">
        <v>44</v>
      </c>
      <c r="D142" s="4" t="s">
        <v>45</v>
      </c>
      <c r="E142" s="4" t="s">
        <v>27</v>
      </c>
      <c r="F142" s="2">
        <v>39</v>
      </c>
      <c r="G142" s="5">
        <v>16595</v>
      </c>
      <c r="H142" s="2">
        <v>8</v>
      </c>
      <c r="I142" s="2">
        <v>5</v>
      </c>
      <c r="J142" s="4" t="s">
        <v>35</v>
      </c>
      <c r="K142" s="4" t="s">
        <v>36</v>
      </c>
      <c r="L142" s="4" t="s">
        <v>42</v>
      </c>
      <c r="M142" s="5">
        <v>199140</v>
      </c>
      <c r="N142" s="4" t="s">
        <v>22</v>
      </c>
      <c r="O142" s="4" t="s">
        <v>23</v>
      </c>
      <c r="P142" s="4" t="s">
        <v>52</v>
      </c>
    </row>
    <row r="143" spans="1:16" x14ac:dyDescent="0.3">
      <c r="A143" s="2">
        <v>229</v>
      </c>
      <c r="B143" s="3">
        <v>42938</v>
      </c>
      <c r="C143" s="4" t="s">
        <v>44</v>
      </c>
      <c r="D143" s="4" t="s">
        <v>45</v>
      </c>
      <c r="E143" s="4" t="s">
        <v>18</v>
      </c>
      <c r="F143" s="2">
        <v>59</v>
      </c>
      <c r="G143" s="5">
        <v>17912</v>
      </c>
      <c r="H143" s="2">
        <v>12</v>
      </c>
      <c r="I143" s="2">
        <v>5</v>
      </c>
      <c r="J143" s="4" t="s">
        <v>35</v>
      </c>
      <c r="K143" s="4" t="s">
        <v>28</v>
      </c>
      <c r="L143" s="4" t="s">
        <v>43</v>
      </c>
      <c r="M143" s="5">
        <v>214944</v>
      </c>
      <c r="N143" s="4" t="s">
        <v>29</v>
      </c>
      <c r="O143" s="4" t="s">
        <v>23</v>
      </c>
      <c r="P143" s="4" t="s">
        <v>52</v>
      </c>
    </row>
    <row r="144" spans="1:16" x14ac:dyDescent="0.3">
      <c r="A144" s="2">
        <v>233</v>
      </c>
      <c r="B144" s="3">
        <v>42315</v>
      </c>
      <c r="C144" s="4" t="s">
        <v>44</v>
      </c>
      <c r="D144" s="4" t="s">
        <v>45</v>
      </c>
      <c r="E144" s="4" t="s">
        <v>27</v>
      </c>
      <c r="F144" s="2">
        <v>47</v>
      </c>
      <c r="G144" s="5">
        <v>17833</v>
      </c>
      <c r="H144" s="2">
        <v>10</v>
      </c>
      <c r="I144" s="2">
        <v>4</v>
      </c>
      <c r="J144" s="4" t="s">
        <v>19</v>
      </c>
      <c r="K144" s="4" t="s">
        <v>20</v>
      </c>
      <c r="L144" s="4" t="s">
        <v>21</v>
      </c>
      <c r="M144" s="5">
        <v>213996</v>
      </c>
      <c r="N144" s="4" t="s">
        <v>29</v>
      </c>
      <c r="O144" s="4" t="s">
        <v>23</v>
      </c>
      <c r="P144" s="4" t="s">
        <v>52</v>
      </c>
    </row>
    <row r="145" spans="1:16" x14ac:dyDescent="0.3">
      <c r="A145" s="2">
        <v>246</v>
      </c>
      <c r="B145" s="3">
        <v>43280</v>
      </c>
      <c r="C145" s="4" t="s">
        <v>44</v>
      </c>
      <c r="D145" s="4" t="s">
        <v>45</v>
      </c>
      <c r="E145" s="4" t="s">
        <v>27</v>
      </c>
      <c r="F145" s="2">
        <v>53</v>
      </c>
      <c r="G145" s="5">
        <v>18039</v>
      </c>
      <c r="H145" s="2">
        <v>9</v>
      </c>
      <c r="I145" s="2">
        <v>5</v>
      </c>
      <c r="J145" s="4" t="s">
        <v>35</v>
      </c>
      <c r="K145" s="4" t="s">
        <v>36</v>
      </c>
      <c r="L145" s="4" t="s">
        <v>43</v>
      </c>
      <c r="M145" s="5">
        <v>216468</v>
      </c>
      <c r="N145" s="4" t="s">
        <v>29</v>
      </c>
      <c r="O145" s="4" t="s">
        <v>23</v>
      </c>
      <c r="P145" s="4" t="s">
        <v>52</v>
      </c>
    </row>
    <row r="146" spans="1:16" x14ac:dyDescent="0.3">
      <c r="A146" s="2">
        <v>252</v>
      </c>
      <c r="B146" s="3">
        <v>44881</v>
      </c>
      <c r="C146" s="4" t="s">
        <v>46</v>
      </c>
      <c r="D146" s="4" t="s">
        <v>48</v>
      </c>
      <c r="E146" s="4" t="s">
        <v>27</v>
      </c>
      <c r="F146" s="2">
        <v>58</v>
      </c>
      <c r="G146" s="5">
        <v>17241</v>
      </c>
      <c r="H146" s="2">
        <v>11</v>
      </c>
      <c r="I146" s="2">
        <v>4</v>
      </c>
      <c r="J146" s="4" t="s">
        <v>35</v>
      </c>
      <c r="K146" s="4" t="s">
        <v>36</v>
      </c>
      <c r="L146" s="4" t="s">
        <v>42</v>
      </c>
      <c r="M146" s="5">
        <v>206892</v>
      </c>
      <c r="N146" s="4" t="s">
        <v>29</v>
      </c>
      <c r="O146" s="4" t="s">
        <v>23</v>
      </c>
      <c r="P146" s="4" t="s">
        <v>52</v>
      </c>
    </row>
    <row r="147" spans="1:16" x14ac:dyDescent="0.3">
      <c r="A147" s="2">
        <v>269</v>
      </c>
      <c r="B147" s="3">
        <v>40941</v>
      </c>
      <c r="C147" s="4" t="s">
        <v>16</v>
      </c>
      <c r="D147" s="4" t="s">
        <v>40</v>
      </c>
      <c r="E147" s="4" t="s">
        <v>18</v>
      </c>
      <c r="F147" s="2">
        <v>46</v>
      </c>
      <c r="G147" s="5">
        <v>7397</v>
      </c>
      <c r="H147" s="2">
        <v>13</v>
      </c>
      <c r="I147" s="2">
        <v>4</v>
      </c>
      <c r="J147" s="4" t="s">
        <v>19</v>
      </c>
      <c r="K147" s="4" t="s">
        <v>36</v>
      </c>
      <c r="L147" s="4" t="s">
        <v>21</v>
      </c>
      <c r="M147" s="5">
        <v>88764</v>
      </c>
      <c r="N147" s="4" t="s">
        <v>29</v>
      </c>
      <c r="O147" s="4" t="s">
        <v>23</v>
      </c>
      <c r="P147" s="4" t="s">
        <v>52</v>
      </c>
    </row>
    <row r="148" spans="1:16" x14ac:dyDescent="0.3">
      <c r="A148" s="2">
        <v>275</v>
      </c>
      <c r="B148" s="3">
        <v>44045</v>
      </c>
      <c r="C148" s="4" t="s">
        <v>16</v>
      </c>
      <c r="D148" s="4" t="s">
        <v>17</v>
      </c>
      <c r="E148" s="4" t="s">
        <v>27</v>
      </c>
      <c r="F148" s="2">
        <v>55</v>
      </c>
      <c r="G148" s="5">
        <v>19218</v>
      </c>
      <c r="H148" s="2">
        <v>11</v>
      </c>
      <c r="I148" s="2">
        <v>5</v>
      </c>
      <c r="J148" s="4" t="s">
        <v>19</v>
      </c>
      <c r="K148" s="4" t="s">
        <v>36</v>
      </c>
      <c r="L148" s="4" t="s">
        <v>31</v>
      </c>
      <c r="M148" s="5">
        <v>230616</v>
      </c>
      <c r="N148" s="4" t="s">
        <v>29</v>
      </c>
      <c r="O148" s="4" t="s">
        <v>23</v>
      </c>
      <c r="P148" s="4" t="s">
        <v>52</v>
      </c>
    </row>
    <row r="149" spans="1:16" x14ac:dyDescent="0.3">
      <c r="A149" s="2">
        <v>277</v>
      </c>
      <c r="B149" s="3">
        <v>41163</v>
      </c>
      <c r="C149" s="4" t="s">
        <v>37</v>
      </c>
      <c r="D149" s="4" t="s">
        <v>41</v>
      </c>
      <c r="E149" s="4" t="s">
        <v>18</v>
      </c>
      <c r="F149" s="2">
        <v>37</v>
      </c>
      <c r="G149" s="5">
        <v>10994</v>
      </c>
      <c r="H149" s="2">
        <v>15</v>
      </c>
      <c r="I149" s="2">
        <v>4</v>
      </c>
      <c r="J149" s="4" t="s">
        <v>19</v>
      </c>
      <c r="K149" s="4" t="s">
        <v>20</v>
      </c>
      <c r="L149" s="4" t="s">
        <v>43</v>
      </c>
      <c r="M149" s="5">
        <v>131928</v>
      </c>
      <c r="N149" s="4" t="s">
        <v>22</v>
      </c>
      <c r="O149" s="4" t="s">
        <v>23</v>
      </c>
      <c r="P149" s="4" t="s">
        <v>52</v>
      </c>
    </row>
    <row r="150" spans="1:16" x14ac:dyDescent="0.3">
      <c r="A150" s="2">
        <v>297</v>
      </c>
      <c r="B150" s="3">
        <v>44291</v>
      </c>
      <c r="C150" s="4" t="s">
        <v>46</v>
      </c>
      <c r="D150" s="4" t="s">
        <v>47</v>
      </c>
      <c r="E150" s="4" t="s">
        <v>27</v>
      </c>
      <c r="F150" s="2">
        <v>33</v>
      </c>
      <c r="G150" s="5">
        <v>18551</v>
      </c>
      <c r="H150" s="2">
        <v>10</v>
      </c>
      <c r="I150" s="2">
        <v>4</v>
      </c>
      <c r="J150" s="4" t="s">
        <v>35</v>
      </c>
      <c r="K150" s="4" t="s">
        <v>20</v>
      </c>
      <c r="L150" s="4" t="s">
        <v>31</v>
      </c>
      <c r="M150" s="5">
        <v>222612</v>
      </c>
      <c r="N150" s="4" t="s">
        <v>22</v>
      </c>
      <c r="O150" s="4" t="s">
        <v>23</v>
      </c>
      <c r="P150" s="4" t="s">
        <v>52</v>
      </c>
    </row>
    <row r="151" spans="1:16" x14ac:dyDescent="0.3">
      <c r="A151" s="2">
        <v>298</v>
      </c>
      <c r="B151" s="3">
        <v>43311</v>
      </c>
      <c r="C151" s="4" t="s">
        <v>46</v>
      </c>
      <c r="D151" s="4" t="s">
        <v>51</v>
      </c>
      <c r="E151" s="4" t="s">
        <v>27</v>
      </c>
      <c r="F151" s="2">
        <v>60</v>
      </c>
      <c r="G151" s="5">
        <v>12963</v>
      </c>
      <c r="H151" s="2">
        <v>10</v>
      </c>
      <c r="I151" s="2">
        <v>5</v>
      </c>
      <c r="J151" s="4" t="s">
        <v>35</v>
      </c>
      <c r="K151" s="4" t="s">
        <v>28</v>
      </c>
      <c r="L151" s="4" t="s">
        <v>43</v>
      </c>
      <c r="M151" s="5">
        <v>155556</v>
      </c>
      <c r="N151" s="4" t="s">
        <v>29</v>
      </c>
      <c r="O151" s="4" t="s">
        <v>23</v>
      </c>
      <c r="P151" s="4" t="s">
        <v>52</v>
      </c>
    </row>
    <row r="152" spans="1:16" x14ac:dyDescent="0.3">
      <c r="A152" s="2">
        <v>302</v>
      </c>
      <c r="B152" s="3">
        <v>41931</v>
      </c>
      <c r="C152" s="4" t="s">
        <v>33</v>
      </c>
      <c r="D152" s="4" t="s">
        <v>49</v>
      </c>
      <c r="E152" s="4" t="s">
        <v>27</v>
      </c>
      <c r="F152" s="2">
        <v>43</v>
      </c>
      <c r="G152" s="5">
        <v>19442</v>
      </c>
      <c r="H152" s="2">
        <v>12</v>
      </c>
      <c r="I152" s="2">
        <v>5</v>
      </c>
      <c r="J152" s="4" t="s">
        <v>19</v>
      </c>
      <c r="K152" s="4" t="s">
        <v>28</v>
      </c>
      <c r="L152" s="4" t="s">
        <v>21</v>
      </c>
      <c r="M152" s="5">
        <v>233304</v>
      </c>
      <c r="N152" s="4" t="s">
        <v>22</v>
      </c>
      <c r="O152" s="4" t="s">
        <v>23</v>
      </c>
      <c r="P152" s="4" t="s">
        <v>52</v>
      </c>
    </row>
    <row r="153" spans="1:16" x14ac:dyDescent="0.3">
      <c r="A153" s="2">
        <v>305</v>
      </c>
      <c r="B153" s="3">
        <v>44036</v>
      </c>
      <c r="C153" s="4" t="s">
        <v>46</v>
      </c>
      <c r="D153" s="4" t="s">
        <v>48</v>
      </c>
      <c r="E153" s="4" t="s">
        <v>18</v>
      </c>
      <c r="F153" s="2">
        <v>59</v>
      </c>
      <c r="G153" s="5">
        <v>9913</v>
      </c>
      <c r="H153" s="2">
        <v>14</v>
      </c>
      <c r="I153" s="2">
        <v>4</v>
      </c>
      <c r="J153" s="4" t="s">
        <v>19</v>
      </c>
      <c r="K153" s="4" t="s">
        <v>28</v>
      </c>
      <c r="L153" s="4" t="s">
        <v>43</v>
      </c>
      <c r="M153" s="5">
        <v>118956</v>
      </c>
      <c r="N153" s="4" t="s">
        <v>29</v>
      </c>
      <c r="O153" s="4" t="s">
        <v>23</v>
      </c>
      <c r="P153" s="4" t="s">
        <v>52</v>
      </c>
    </row>
    <row r="154" spans="1:16" x14ac:dyDescent="0.3">
      <c r="A154" s="2">
        <v>313</v>
      </c>
      <c r="B154" s="3">
        <v>40195</v>
      </c>
      <c r="C154" s="4" t="s">
        <v>44</v>
      </c>
      <c r="D154" s="4" t="s">
        <v>50</v>
      </c>
      <c r="E154" s="4" t="s">
        <v>18</v>
      </c>
      <c r="F154" s="2">
        <v>51</v>
      </c>
      <c r="G154" s="5">
        <v>10857</v>
      </c>
      <c r="H154" s="2">
        <v>13</v>
      </c>
      <c r="I154" s="2">
        <v>4</v>
      </c>
      <c r="J154" s="4" t="s">
        <v>35</v>
      </c>
      <c r="K154" s="4" t="s">
        <v>20</v>
      </c>
      <c r="L154" s="4" t="s">
        <v>21</v>
      </c>
      <c r="M154" s="5">
        <v>130284</v>
      </c>
      <c r="N154" s="4" t="s">
        <v>29</v>
      </c>
      <c r="O154" s="4" t="s">
        <v>23</v>
      </c>
      <c r="P154" s="4" t="s">
        <v>52</v>
      </c>
    </row>
    <row r="155" spans="1:16" x14ac:dyDescent="0.3">
      <c r="A155" s="2">
        <v>314</v>
      </c>
      <c r="B155" s="3">
        <v>41906</v>
      </c>
      <c r="C155" s="4" t="s">
        <v>33</v>
      </c>
      <c r="D155" s="4" t="s">
        <v>34</v>
      </c>
      <c r="E155" s="4" t="s">
        <v>27</v>
      </c>
      <c r="F155" s="2">
        <v>24</v>
      </c>
      <c r="G155" s="5">
        <v>16070</v>
      </c>
      <c r="H155" s="2">
        <v>13</v>
      </c>
      <c r="I155" s="2">
        <v>4</v>
      </c>
      <c r="J155" s="4" t="s">
        <v>19</v>
      </c>
      <c r="K155" s="4" t="s">
        <v>36</v>
      </c>
      <c r="L155" s="4" t="s">
        <v>31</v>
      </c>
      <c r="M155" s="5">
        <v>192840</v>
      </c>
      <c r="N155" s="4" t="s">
        <v>32</v>
      </c>
      <c r="O155" s="4" t="s">
        <v>23</v>
      </c>
      <c r="P155" s="4" t="s">
        <v>52</v>
      </c>
    </row>
    <row r="156" spans="1:16" x14ac:dyDescent="0.3">
      <c r="A156" s="2">
        <v>315</v>
      </c>
      <c r="B156" s="3">
        <v>45050</v>
      </c>
      <c r="C156" s="4" t="s">
        <v>16</v>
      </c>
      <c r="D156" s="4" t="s">
        <v>17</v>
      </c>
      <c r="E156" s="4" t="s">
        <v>18</v>
      </c>
      <c r="F156" s="2">
        <v>49</v>
      </c>
      <c r="G156" s="5">
        <v>17447</v>
      </c>
      <c r="H156" s="2">
        <v>12</v>
      </c>
      <c r="I156" s="2">
        <v>4</v>
      </c>
      <c r="J156" s="4" t="s">
        <v>19</v>
      </c>
      <c r="K156" s="4" t="s">
        <v>20</v>
      </c>
      <c r="L156" s="4" t="s">
        <v>21</v>
      </c>
      <c r="M156" s="5">
        <v>209364</v>
      </c>
      <c r="N156" s="4" t="s">
        <v>29</v>
      </c>
      <c r="O156" s="4" t="s">
        <v>23</v>
      </c>
      <c r="P156" s="4" t="s">
        <v>52</v>
      </c>
    </row>
    <row r="157" spans="1:16" x14ac:dyDescent="0.3">
      <c r="A157" s="2">
        <v>328</v>
      </c>
      <c r="B157" s="3">
        <v>41686</v>
      </c>
      <c r="C157" s="4" t="s">
        <v>37</v>
      </c>
      <c r="D157" s="4" t="s">
        <v>41</v>
      </c>
      <c r="E157" s="4" t="s">
        <v>18</v>
      </c>
      <c r="F157" s="2">
        <v>59</v>
      </c>
      <c r="G157" s="5">
        <v>12539</v>
      </c>
      <c r="H157" s="2">
        <v>8</v>
      </c>
      <c r="I157" s="2">
        <v>4</v>
      </c>
      <c r="J157" s="4" t="s">
        <v>35</v>
      </c>
      <c r="K157" s="4" t="s">
        <v>36</v>
      </c>
      <c r="L157" s="4" t="s">
        <v>31</v>
      </c>
      <c r="M157" s="5">
        <v>150468</v>
      </c>
      <c r="N157" s="4" t="s">
        <v>29</v>
      </c>
      <c r="O157" s="4" t="s">
        <v>23</v>
      </c>
      <c r="P157" s="4" t="s">
        <v>52</v>
      </c>
    </row>
    <row r="158" spans="1:16" x14ac:dyDescent="0.3">
      <c r="A158" s="2">
        <v>329</v>
      </c>
      <c r="B158" s="3">
        <v>44975</v>
      </c>
      <c r="C158" s="4" t="s">
        <v>16</v>
      </c>
      <c r="D158" s="4" t="s">
        <v>17</v>
      </c>
      <c r="E158" s="4" t="s">
        <v>18</v>
      </c>
      <c r="F158" s="2">
        <v>23</v>
      </c>
      <c r="G158" s="5">
        <v>7319</v>
      </c>
      <c r="H158" s="2">
        <v>13</v>
      </c>
      <c r="I158" s="2">
        <v>4</v>
      </c>
      <c r="J158" s="4" t="s">
        <v>35</v>
      </c>
      <c r="K158" s="4" t="s">
        <v>20</v>
      </c>
      <c r="L158" s="4" t="s">
        <v>43</v>
      </c>
      <c r="M158" s="5">
        <v>87828</v>
      </c>
      <c r="N158" s="4" t="s">
        <v>32</v>
      </c>
      <c r="O158" s="4" t="s">
        <v>23</v>
      </c>
      <c r="P158" s="4" t="s">
        <v>52</v>
      </c>
    </row>
    <row r="159" spans="1:16" x14ac:dyDescent="0.3">
      <c r="A159" s="2">
        <v>333</v>
      </c>
      <c r="B159" s="3">
        <v>40906</v>
      </c>
      <c r="C159" s="4" t="s">
        <v>46</v>
      </c>
      <c r="D159" s="4" t="s">
        <v>48</v>
      </c>
      <c r="E159" s="4" t="s">
        <v>18</v>
      </c>
      <c r="F159" s="2">
        <v>33</v>
      </c>
      <c r="G159" s="5">
        <v>15917</v>
      </c>
      <c r="H159" s="2">
        <v>15</v>
      </c>
      <c r="I159" s="2">
        <v>5</v>
      </c>
      <c r="J159" s="4" t="s">
        <v>19</v>
      </c>
      <c r="K159" s="4" t="s">
        <v>36</v>
      </c>
      <c r="L159" s="4" t="s">
        <v>31</v>
      </c>
      <c r="M159" s="5">
        <v>191004</v>
      </c>
      <c r="N159" s="4" t="s">
        <v>22</v>
      </c>
      <c r="O159" s="4" t="s">
        <v>23</v>
      </c>
      <c r="P159" s="4" t="s">
        <v>52</v>
      </c>
    </row>
    <row r="160" spans="1:16" x14ac:dyDescent="0.3">
      <c r="A160" s="2">
        <v>343</v>
      </c>
      <c r="B160" s="3">
        <v>44735</v>
      </c>
      <c r="C160" s="4" t="s">
        <v>37</v>
      </c>
      <c r="D160" s="4" t="s">
        <v>41</v>
      </c>
      <c r="E160" s="4" t="s">
        <v>27</v>
      </c>
      <c r="F160" s="2">
        <v>60</v>
      </c>
      <c r="G160" s="5">
        <v>4932</v>
      </c>
      <c r="H160" s="2">
        <v>8</v>
      </c>
      <c r="I160" s="2">
        <v>4</v>
      </c>
      <c r="J160" s="4" t="s">
        <v>35</v>
      </c>
      <c r="K160" s="4" t="s">
        <v>20</v>
      </c>
      <c r="L160" s="4" t="s">
        <v>31</v>
      </c>
      <c r="M160" s="5">
        <v>59184</v>
      </c>
      <c r="N160" s="4" t="s">
        <v>29</v>
      </c>
      <c r="O160" s="4" t="s">
        <v>23</v>
      </c>
      <c r="P160" s="4" t="s">
        <v>52</v>
      </c>
    </row>
    <row r="161" spans="1:16" x14ac:dyDescent="0.3">
      <c r="A161" s="2">
        <v>349</v>
      </c>
      <c r="B161" s="3">
        <v>44540</v>
      </c>
      <c r="C161" s="4" t="s">
        <v>33</v>
      </c>
      <c r="D161" s="4" t="s">
        <v>34</v>
      </c>
      <c r="E161" s="4" t="s">
        <v>18</v>
      </c>
      <c r="F161" s="2">
        <v>23</v>
      </c>
      <c r="G161" s="5">
        <v>16005</v>
      </c>
      <c r="H161" s="2">
        <v>14</v>
      </c>
      <c r="I161" s="2">
        <v>4</v>
      </c>
      <c r="J161" s="4" t="s">
        <v>35</v>
      </c>
      <c r="K161" s="4" t="s">
        <v>28</v>
      </c>
      <c r="L161" s="4" t="s">
        <v>42</v>
      </c>
      <c r="M161" s="5">
        <v>192060</v>
      </c>
      <c r="N161" s="4" t="s">
        <v>32</v>
      </c>
      <c r="O161" s="4" t="s">
        <v>23</v>
      </c>
      <c r="P161" s="4" t="s">
        <v>52</v>
      </c>
    </row>
    <row r="162" spans="1:16" x14ac:dyDescent="0.3">
      <c r="A162" s="2">
        <v>352</v>
      </c>
      <c r="B162" s="3">
        <v>43549</v>
      </c>
      <c r="C162" s="4" t="s">
        <v>25</v>
      </c>
      <c r="D162" s="4" t="s">
        <v>26</v>
      </c>
      <c r="E162" s="4" t="s">
        <v>27</v>
      </c>
      <c r="F162" s="2">
        <v>55</v>
      </c>
      <c r="G162" s="5">
        <v>11268</v>
      </c>
      <c r="H162" s="2">
        <v>13</v>
      </c>
      <c r="I162" s="2">
        <v>5</v>
      </c>
      <c r="J162" s="4" t="s">
        <v>35</v>
      </c>
      <c r="K162" s="4" t="s">
        <v>20</v>
      </c>
      <c r="L162" s="4" t="s">
        <v>42</v>
      </c>
      <c r="M162" s="5">
        <v>135216</v>
      </c>
      <c r="N162" s="4" t="s">
        <v>29</v>
      </c>
      <c r="O162" s="4" t="s">
        <v>23</v>
      </c>
      <c r="P162" s="4" t="s">
        <v>52</v>
      </c>
    </row>
    <row r="163" spans="1:16" x14ac:dyDescent="0.3">
      <c r="A163" s="2">
        <v>361</v>
      </c>
      <c r="B163" s="3">
        <v>43224</v>
      </c>
      <c r="C163" s="4" t="s">
        <v>33</v>
      </c>
      <c r="D163" s="4" t="s">
        <v>49</v>
      </c>
      <c r="E163" s="4" t="s">
        <v>27</v>
      </c>
      <c r="F163" s="2">
        <v>34</v>
      </c>
      <c r="G163" s="5">
        <v>11575</v>
      </c>
      <c r="H163" s="2">
        <v>8</v>
      </c>
      <c r="I163" s="2">
        <v>5</v>
      </c>
      <c r="J163" s="4" t="s">
        <v>35</v>
      </c>
      <c r="K163" s="4" t="s">
        <v>20</v>
      </c>
      <c r="L163" s="4" t="s">
        <v>42</v>
      </c>
      <c r="M163" s="5">
        <v>138900</v>
      </c>
      <c r="N163" s="4" t="s">
        <v>22</v>
      </c>
      <c r="O163" s="4" t="s">
        <v>23</v>
      </c>
      <c r="P163" s="4" t="s">
        <v>52</v>
      </c>
    </row>
    <row r="164" spans="1:16" x14ac:dyDescent="0.3">
      <c r="A164" s="2">
        <v>364</v>
      </c>
      <c r="B164" s="3">
        <v>40970</v>
      </c>
      <c r="C164" s="4" t="s">
        <v>46</v>
      </c>
      <c r="D164" s="4" t="s">
        <v>51</v>
      </c>
      <c r="E164" s="4" t="s">
        <v>18</v>
      </c>
      <c r="F164" s="2">
        <v>30</v>
      </c>
      <c r="G164" s="5">
        <v>18907</v>
      </c>
      <c r="H164" s="2">
        <v>9</v>
      </c>
      <c r="I164" s="2">
        <v>4</v>
      </c>
      <c r="J164" s="4" t="s">
        <v>35</v>
      </c>
      <c r="K164" s="4" t="s">
        <v>28</v>
      </c>
      <c r="L164" s="4" t="s">
        <v>39</v>
      </c>
      <c r="M164" s="5">
        <v>226884</v>
      </c>
      <c r="N164" s="4" t="s">
        <v>22</v>
      </c>
      <c r="O164" s="4" t="s">
        <v>23</v>
      </c>
      <c r="P164" s="4" t="s">
        <v>52</v>
      </c>
    </row>
    <row r="165" spans="1:16" x14ac:dyDescent="0.3">
      <c r="A165" s="2">
        <v>369</v>
      </c>
      <c r="B165" s="3">
        <v>45145</v>
      </c>
      <c r="C165" s="4" t="s">
        <v>37</v>
      </c>
      <c r="D165" s="4" t="s">
        <v>41</v>
      </c>
      <c r="E165" s="4" t="s">
        <v>27</v>
      </c>
      <c r="F165" s="2">
        <v>60</v>
      </c>
      <c r="G165" s="5">
        <v>18701</v>
      </c>
      <c r="H165" s="2">
        <v>10</v>
      </c>
      <c r="I165" s="2">
        <v>5</v>
      </c>
      <c r="J165" s="4" t="s">
        <v>35</v>
      </c>
      <c r="K165" s="4" t="s">
        <v>20</v>
      </c>
      <c r="L165" s="4" t="s">
        <v>39</v>
      </c>
      <c r="M165" s="5">
        <v>224412</v>
      </c>
      <c r="N165" s="4" t="s">
        <v>29</v>
      </c>
      <c r="O165" s="4" t="s">
        <v>23</v>
      </c>
      <c r="P165" s="4" t="s">
        <v>52</v>
      </c>
    </row>
    <row r="166" spans="1:16" x14ac:dyDescent="0.3">
      <c r="A166" s="2">
        <v>372</v>
      </c>
      <c r="B166" s="3">
        <v>43552</v>
      </c>
      <c r="C166" s="4" t="s">
        <v>25</v>
      </c>
      <c r="D166" s="4" t="s">
        <v>30</v>
      </c>
      <c r="E166" s="4" t="s">
        <v>27</v>
      </c>
      <c r="F166" s="2">
        <v>55</v>
      </c>
      <c r="G166" s="5">
        <v>18175</v>
      </c>
      <c r="H166" s="2">
        <v>14</v>
      </c>
      <c r="I166" s="2">
        <v>5</v>
      </c>
      <c r="J166" s="4" t="s">
        <v>35</v>
      </c>
      <c r="K166" s="4" t="s">
        <v>20</v>
      </c>
      <c r="L166" s="4" t="s">
        <v>31</v>
      </c>
      <c r="M166" s="5">
        <v>218100</v>
      </c>
      <c r="N166" s="4" t="s">
        <v>29</v>
      </c>
      <c r="O166" s="4" t="s">
        <v>23</v>
      </c>
      <c r="P166" s="4" t="s">
        <v>52</v>
      </c>
    </row>
    <row r="167" spans="1:16" x14ac:dyDescent="0.3">
      <c r="A167" s="2">
        <v>374</v>
      </c>
      <c r="B167" s="3">
        <v>42888</v>
      </c>
      <c r="C167" s="4" t="s">
        <v>37</v>
      </c>
      <c r="D167" s="4" t="s">
        <v>38</v>
      </c>
      <c r="E167" s="4" t="s">
        <v>27</v>
      </c>
      <c r="F167" s="2">
        <v>26</v>
      </c>
      <c r="G167" s="5">
        <v>5347</v>
      </c>
      <c r="H167" s="2">
        <v>10</v>
      </c>
      <c r="I167" s="2">
        <v>5</v>
      </c>
      <c r="J167" s="4" t="s">
        <v>19</v>
      </c>
      <c r="K167" s="4" t="s">
        <v>28</v>
      </c>
      <c r="L167" s="4" t="s">
        <v>42</v>
      </c>
      <c r="M167" s="5">
        <v>64164</v>
      </c>
      <c r="N167" s="4" t="s">
        <v>32</v>
      </c>
      <c r="O167" s="4" t="s">
        <v>23</v>
      </c>
      <c r="P167" s="4" t="s">
        <v>52</v>
      </c>
    </row>
    <row r="168" spans="1:16" x14ac:dyDescent="0.3">
      <c r="A168" s="2">
        <v>386</v>
      </c>
      <c r="B168" s="3">
        <v>44923</v>
      </c>
      <c r="C168" s="4" t="s">
        <v>16</v>
      </c>
      <c r="D168" s="4" t="s">
        <v>40</v>
      </c>
      <c r="E168" s="4" t="s">
        <v>18</v>
      </c>
      <c r="F168" s="2">
        <v>60</v>
      </c>
      <c r="G168" s="5">
        <v>11045</v>
      </c>
      <c r="H168" s="2">
        <v>12</v>
      </c>
      <c r="I168" s="2">
        <v>5</v>
      </c>
      <c r="J168" s="4" t="s">
        <v>35</v>
      </c>
      <c r="K168" s="4" t="s">
        <v>28</v>
      </c>
      <c r="L168" s="4" t="s">
        <v>39</v>
      </c>
      <c r="M168" s="5">
        <v>132540</v>
      </c>
      <c r="N168" s="4" t="s">
        <v>29</v>
      </c>
      <c r="O168" s="4" t="s">
        <v>23</v>
      </c>
      <c r="P168" s="4" t="s">
        <v>52</v>
      </c>
    </row>
    <row r="169" spans="1:16" x14ac:dyDescent="0.3">
      <c r="A169" s="2">
        <v>389</v>
      </c>
      <c r="B169" s="3">
        <v>40765</v>
      </c>
      <c r="C169" s="4" t="s">
        <v>25</v>
      </c>
      <c r="D169" s="4" t="s">
        <v>30</v>
      </c>
      <c r="E169" s="4" t="s">
        <v>27</v>
      </c>
      <c r="F169" s="2">
        <v>36</v>
      </c>
      <c r="G169" s="5">
        <v>6600</v>
      </c>
      <c r="H169" s="2">
        <v>12</v>
      </c>
      <c r="I169" s="2">
        <v>5</v>
      </c>
      <c r="J169" s="4" t="s">
        <v>35</v>
      </c>
      <c r="K169" s="4" t="s">
        <v>36</v>
      </c>
      <c r="L169" s="4" t="s">
        <v>21</v>
      </c>
      <c r="M169" s="5">
        <v>79200</v>
      </c>
      <c r="N169" s="4" t="s">
        <v>22</v>
      </c>
      <c r="O169" s="4" t="s">
        <v>23</v>
      </c>
      <c r="P169" s="4" t="s">
        <v>52</v>
      </c>
    </row>
    <row r="170" spans="1:16" x14ac:dyDescent="0.3">
      <c r="A170" s="2">
        <v>393</v>
      </c>
      <c r="B170" s="3">
        <v>44695</v>
      </c>
      <c r="C170" s="4" t="s">
        <v>44</v>
      </c>
      <c r="D170" s="4" t="s">
        <v>45</v>
      </c>
      <c r="E170" s="4" t="s">
        <v>27</v>
      </c>
      <c r="F170" s="2">
        <v>28</v>
      </c>
      <c r="G170" s="5">
        <v>13363</v>
      </c>
      <c r="H170" s="2">
        <v>10</v>
      </c>
      <c r="I170" s="2">
        <v>5</v>
      </c>
      <c r="J170" s="4" t="s">
        <v>19</v>
      </c>
      <c r="K170" s="4" t="s">
        <v>20</v>
      </c>
      <c r="L170" s="4" t="s">
        <v>21</v>
      </c>
      <c r="M170" s="5">
        <v>160356</v>
      </c>
      <c r="N170" s="4" t="s">
        <v>32</v>
      </c>
      <c r="O170" s="4" t="s">
        <v>23</v>
      </c>
      <c r="P170" s="4" t="s">
        <v>52</v>
      </c>
    </row>
    <row r="171" spans="1:16" x14ac:dyDescent="0.3">
      <c r="A171" s="2">
        <v>395</v>
      </c>
      <c r="B171" s="3">
        <v>44642</v>
      </c>
      <c r="C171" s="4" t="s">
        <v>44</v>
      </c>
      <c r="D171" s="4" t="s">
        <v>50</v>
      </c>
      <c r="E171" s="4" t="s">
        <v>18</v>
      </c>
      <c r="F171" s="2">
        <v>37</v>
      </c>
      <c r="G171" s="5">
        <v>6172</v>
      </c>
      <c r="H171" s="2">
        <v>9</v>
      </c>
      <c r="I171" s="2">
        <v>5</v>
      </c>
      <c r="J171" s="4" t="s">
        <v>35</v>
      </c>
      <c r="K171" s="4" t="s">
        <v>28</v>
      </c>
      <c r="L171" s="4" t="s">
        <v>43</v>
      </c>
      <c r="M171" s="5">
        <v>74064</v>
      </c>
      <c r="N171" s="4" t="s">
        <v>22</v>
      </c>
      <c r="O171" s="4" t="s">
        <v>23</v>
      </c>
      <c r="P171" s="4" t="s">
        <v>52</v>
      </c>
    </row>
    <row r="172" spans="1:16" x14ac:dyDescent="0.3">
      <c r="A172" s="2">
        <v>398</v>
      </c>
      <c r="B172" s="3">
        <v>41967</v>
      </c>
      <c r="C172" s="4" t="s">
        <v>25</v>
      </c>
      <c r="D172" s="4" t="s">
        <v>30</v>
      </c>
      <c r="E172" s="4" t="s">
        <v>27</v>
      </c>
      <c r="F172" s="2">
        <v>53</v>
      </c>
      <c r="G172" s="5">
        <v>8298</v>
      </c>
      <c r="H172" s="2">
        <v>10</v>
      </c>
      <c r="I172" s="2">
        <v>4</v>
      </c>
      <c r="J172" s="4" t="s">
        <v>35</v>
      </c>
      <c r="K172" s="4" t="s">
        <v>28</v>
      </c>
      <c r="L172" s="4" t="s">
        <v>21</v>
      </c>
      <c r="M172" s="5">
        <v>99576</v>
      </c>
      <c r="N172" s="4" t="s">
        <v>29</v>
      </c>
      <c r="O172" s="4" t="s">
        <v>23</v>
      </c>
      <c r="P172" s="4" t="s">
        <v>52</v>
      </c>
    </row>
    <row r="173" spans="1:16" x14ac:dyDescent="0.3">
      <c r="A173" s="2">
        <v>399</v>
      </c>
      <c r="B173" s="3">
        <v>42179</v>
      </c>
      <c r="C173" s="4" t="s">
        <v>25</v>
      </c>
      <c r="D173" s="4" t="s">
        <v>30</v>
      </c>
      <c r="E173" s="4" t="s">
        <v>27</v>
      </c>
      <c r="F173" s="2">
        <v>30</v>
      </c>
      <c r="G173" s="5">
        <v>14501</v>
      </c>
      <c r="H173" s="2">
        <v>14</v>
      </c>
      <c r="I173" s="2">
        <v>5</v>
      </c>
      <c r="J173" s="4" t="s">
        <v>19</v>
      </c>
      <c r="K173" s="4" t="s">
        <v>36</v>
      </c>
      <c r="L173" s="4" t="s">
        <v>31</v>
      </c>
      <c r="M173" s="5">
        <v>174012</v>
      </c>
      <c r="N173" s="4" t="s">
        <v>22</v>
      </c>
      <c r="O173" s="4" t="s">
        <v>23</v>
      </c>
      <c r="P173" s="4" t="s">
        <v>52</v>
      </c>
    </row>
    <row r="174" spans="1:16" x14ac:dyDescent="0.3">
      <c r="A174" s="2">
        <v>403</v>
      </c>
      <c r="B174" s="3">
        <v>42527</v>
      </c>
      <c r="C174" s="4" t="s">
        <v>37</v>
      </c>
      <c r="D174" s="4" t="s">
        <v>41</v>
      </c>
      <c r="E174" s="4" t="s">
        <v>27</v>
      </c>
      <c r="F174" s="2">
        <v>48</v>
      </c>
      <c r="G174" s="5">
        <v>12992</v>
      </c>
      <c r="H174" s="2">
        <v>11</v>
      </c>
      <c r="I174" s="2">
        <v>5</v>
      </c>
      <c r="J174" s="4" t="s">
        <v>35</v>
      </c>
      <c r="K174" s="4" t="s">
        <v>36</v>
      </c>
      <c r="L174" s="4" t="s">
        <v>31</v>
      </c>
      <c r="M174" s="5">
        <v>155904</v>
      </c>
      <c r="N174" s="4" t="s">
        <v>29</v>
      </c>
      <c r="O174" s="4" t="s">
        <v>23</v>
      </c>
      <c r="P174" s="4" t="s">
        <v>52</v>
      </c>
    </row>
    <row r="175" spans="1:16" x14ac:dyDescent="0.3">
      <c r="A175" s="2">
        <v>428</v>
      </c>
      <c r="B175" s="3">
        <v>45034</v>
      </c>
      <c r="C175" s="4" t="s">
        <v>37</v>
      </c>
      <c r="D175" s="4" t="s">
        <v>38</v>
      </c>
      <c r="E175" s="4" t="s">
        <v>27</v>
      </c>
      <c r="F175" s="2">
        <v>31</v>
      </c>
      <c r="G175" s="5">
        <v>18478</v>
      </c>
      <c r="H175" s="2">
        <v>11</v>
      </c>
      <c r="I175" s="2">
        <v>4</v>
      </c>
      <c r="J175" s="4" t="s">
        <v>35</v>
      </c>
      <c r="K175" s="4" t="s">
        <v>28</v>
      </c>
      <c r="L175" s="4" t="s">
        <v>42</v>
      </c>
      <c r="M175" s="5">
        <v>221736</v>
      </c>
      <c r="N175" s="4" t="s">
        <v>22</v>
      </c>
      <c r="O175" s="4" t="s">
        <v>23</v>
      </c>
      <c r="P175" s="4" t="s">
        <v>52</v>
      </c>
    </row>
    <row r="176" spans="1:16" x14ac:dyDescent="0.3">
      <c r="A176" s="2">
        <v>429</v>
      </c>
      <c r="B176" s="3">
        <v>43489</v>
      </c>
      <c r="C176" s="4" t="s">
        <v>46</v>
      </c>
      <c r="D176" s="4" t="s">
        <v>47</v>
      </c>
      <c r="E176" s="4" t="s">
        <v>27</v>
      </c>
      <c r="F176" s="2">
        <v>42</v>
      </c>
      <c r="G176" s="5">
        <v>17025</v>
      </c>
      <c r="H176" s="2">
        <v>15</v>
      </c>
      <c r="I176" s="2">
        <v>4</v>
      </c>
      <c r="J176" s="4" t="s">
        <v>35</v>
      </c>
      <c r="K176" s="4" t="s">
        <v>20</v>
      </c>
      <c r="L176" s="4" t="s">
        <v>31</v>
      </c>
      <c r="M176" s="5">
        <v>204300</v>
      </c>
      <c r="N176" s="4" t="s">
        <v>22</v>
      </c>
      <c r="O176" s="4" t="s">
        <v>23</v>
      </c>
      <c r="P176" s="4" t="s">
        <v>52</v>
      </c>
    </row>
    <row r="177" spans="1:16" x14ac:dyDescent="0.3">
      <c r="A177" s="2">
        <v>433</v>
      </c>
      <c r="B177" s="3">
        <v>43400</v>
      </c>
      <c r="C177" s="4" t="s">
        <v>46</v>
      </c>
      <c r="D177" s="4" t="s">
        <v>48</v>
      </c>
      <c r="E177" s="4" t="s">
        <v>18</v>
      </c>
      <c r="F177" s="2">
        <v>53</v>
      </c>
      <c r="G177" s="5">
        <v>9446</v>
      </c>
      <c r="H177" s="2">
        <v>10</v>
      </c>
      <c r="I177" s="2">
        <v>4</v>
      </c>
      <c r="J177" s="4" t="s">
        <v>19</v>
      </c>
      <c r="K177" s="4" t="s">
        <v>36</v>
      </c>
      <c r="L177" s="4" t="s">
        <v>43</v>
      </c>
      <c r="M177" s="5">
        <v>113352</v>
      </c>
      <c r="N177" s="4" t="s">
        <v>29</v>
      </c>
      <c r="O177" s="4" t="s">
        <v>23</v>
      </c>
      <c r="P177" s="4" t="s">
        <v>52</v>
      </c>
    </row>
    <row r="178" spans="1:16" x14ac:dyDescent="0.3">
      <c r="A178" s="2">
        <v>436</v>
      </c>
      <c r="B178" s="3">
        <v>41789</v>
      </c>
      <c r="C178" s="4" t="s">
        <v>44</v>
      </c>
      <c r="D178" s="4" t="s">
        <v>50</v>
      </c>
      <c r="E178" s="4" t="s">
        <v>27</v>
      </c>
      <c r="F178" s="2">
        <v>35</v>
      </c>
      <c r="G178" s="5">
        <v>5689</v>
      </c>
      <c r="H178" s="2">
        <v>11</v>
      </c>
      <c r="I178" s="2">
        <v>5</v>
      </c>
      <c r="J178" s="4" t="s">
        <v>35</v>
      </c>
      <c r="K178" s="4" t="s">
        <v>20</v>
      </c>
      <c r="L178" s="4" t="s">
        <v>43</v>
      </c>
      <c r="M178" s="5">
        <v>68268</v>
      </c>
      <c r="N178" s="4" t="s">
        <v>22</v>
      </c>
      <c r="O178" s="4" t="s">
        <v>23</v>
      </c>
      <c r="P178" s="4" t="s">
        <v>52</v>
      </c>
    </row>
    <row r="179" spans="1:16" x14ac:dyDescent="0.3">
      <c r="A179" s="2">
        <v>442</v>
      </c>
      <c r="B179" s="3">
        <v>45047</v>
      </c>
      <c r="C179" s="4" t="s">
        <v>16</v>
      </c>
      <c r="D179" s="4" t="s">
        <v>17</v>
      </c>
      <c r="E179" s="4" t="s">
        <v>18</v>
      </c>
      <c r="F179" s="2">
        <v>54</v>
      </c>
      <c r="G179" s="5">
        <v>15363</v>
      </c>
      <c r="H179" s="2">
        <v>13</v>
      </c>
      <c r="I179" s="2">
        <v>5</v>
      </c>
      <c r="J179" s="4" t="s">
        <v>35</v>
      </c>
      <c r="K179" s="4" t="s">
        <v>20</v>
      </c>
      <c r="L179" s="4" t="s">
        <v>42</v>
      </c>
      <c r="M179" s="5">
        <v>184356</v>
      </c>
      <c r="N179" s="4" t="s">
        <v>29</v>
      </c>
      <c r="O179" s="4" t="s">
        <v>23</v>
      </c>
      <c r="P179" s="4" t="s">
        <v>52</v>
      </c>
    </row>
    <row r="180" spans="1:16" x14ac:dyDescent="0.3">
      <c r="A180" s="2">
        <v>444</v>
      </c>
      <c r="B180" s="3">
        <v>45071</v>
      </c>
      <c r="C180" s="4" t="s">
        <v>25</v>
      </c>
      <c r="D180" s="4" t="s">
        <v>26</v>
      </c>
      <c r="E180" s="4" t="s">
        <v>27</v>
      </c>
      <c r="F180" s="2">
        <v>50</v>
      </c>
      <c r="G180" s="5">
        <v>4409</v>
      </c>
      <c r="H180" s="2">
        <v>11</v>
      </c>
      <c r="I180" s="2">
        <v>5</v>
      </c>
      <c r="J180" s="4" t="s">
        <v>19</v>
      </c>
      <c r="K180" s="4" t="s">
        <v>20</v>
      </c>
      <c r="L180" s="4" t="s">
        <v>39</v>
      </c>
      <c r="M180" s="5">
        <v>52908</v>
      </c>
      <c r="N180" s="4" t="s">
        <v>29</v>
      </c>
      <c r="O180" s="4" t="s">
        <v>23</v>
      </c>
      <c r="P180" s="4" t="s">
        <v>52</v>
      </c>
    </row>
    <row r="181" spans="1:16" x14ac:dyDescent="0.3">
      <c r="A181" s="2">
        <v>446</v>
      </c>
      <c r="B181" s="3">
        <v>44392</v>
      </c>
      <c r="C181" s="4" t="s">
        <v>37</v>
      </c>
      <c r="D181" s="4" t="s">
        <v>41</v>
      </c>
      <c r="E181" s="4" t="s">
        <v>18</v>
      </c>
      <c r="F181" s="2">
        <v>58</v>
      </c>
      <c r="G181" s="5">
        <v>16953</v>
      </c>
      <c r="H181" s="2">
        <v>10</v>
      </c>
      <c r="I181" s="2">
        <v>4</v>
      </c>
      <c r="J181" s="4" t="s">
        <v>35</v>
      </c>
      <c r="K181" s="4" t="s">
        <v>20</v>
      </c>
      <c r="L181" s="4" t="s">
        <v>21</v>
      </c>
      <c r="M181" s="5">
        <v>203436</v>
      </c>
      <c r="N181" s="4" t="s">
        <v>29</v>
      </c>
      <c r="O181" s="4" t="s">
        <v>23</v>
      </c>
      <c r="P181" s="4" t="s">
        <v>52</v>
      </c>
    </row>
    <row r="182" spans="1:16" x14ac:dyDescent="0.3">
      <c r="A182" s="2">
        <v>449</v>
      </c>
      <c r="B182" s="3">
        <v>40491</v>
      </c>
      <c r="C182" s="4" t="s">
        <v>46</v>
      </c>
      <c r="D182" s="4" t="s">
        <v>48</v>
      </c>
      <c r="E182" s="4" t="s">
        <v>18</v>
      </c>
      <c r="F182" s="2">
        <v>50</v>
      </c>
      <c r="G182" s="5">
        <v>10287</v>
      </c>
      <c r="H182" s="2">
        <v>13</v>
      </c>
      <c r="I182" s="2">
        <v>5</v>
      </c>
      <c r="J182" s="4" t="s">
        <v>19</v>
      </c>
      <c r="K182" s="4" t="s">
        <v>36</v>
      </c>
      <c r="L182" s="4" t="s">
        <v>43</v>
      </c>
      <c r="M182" s="5">
        <v>123444</v>
      </c>
      <c r="N182" s="4" t="s">
        <v>29</v>
      </c>
      <c r="O182" s="4" t="s">
        <v>23</v>
      </c>
      <c r="P182" s="4" t="s">
        <v>52</v>
      </c>
    </row>
    <row r="183" spans="1:16" x14ac:dyDescent="0.3">
      <c r="A183" s="2">
        <v>453</v>
      </c>
      <c r="B183" s="3">
        <v>41103</v>
      </c>
      <c r="C183" s="4" t="s">
        <v>16</v>
      </c>
      <c r="D183" s="4" t="s">
        <v>17</v>
      </c>
      <c r="E183" s="4" t="s">
        <v>18</v>
      </c>
      <c r="F183" s="2">
        <v>30</v>
      </c>
      <c r="G183" s="5">
        <v>18982</v>
      </c>
      <c r="H183" s="2">
        <v>9</v>
      </c>
      <c r="I183" s="2">
        <v>4</v>
      </c>
      <c r="J183" s="4" t="s">
        <v>19</v>
      </c>
      <c r="K183" s="4" t="s">
        <v>36</v>
      </c>
      <c r="L183" s="4" t="s">
        <v>39</v>
      </c>
      <c r="M183" s="5">
        <v>227784</v>
      </c>
      <c r="N183" s="4" t="s">
        <v>22</v>
      </c>
      <c r="O183" s="4" t="s">
        <v>23</v>
      </c>
      <c r="P183" s="4" t="s">
        <v>52</v>
      </c>
    </row>
    <row r="184" spans="1:16" x14ac:dyDescent="0.3">
      <c r="A184" s="2">
        <v>459</v>
      </c>
      <c r="B184" s="3">
        <v>40920</v>
      </c>
      <c r="C184" s="4" t="s">
        <v>46</v>
      </c>
      <c r="D184" s="4" t="s">
        <v>51</v>
      </c>
      <c r="E184" s="4" t="s">
        <v>27</v>
      </c>
      <c r="F184" s="2">
        <v>54</v>
      </c>
      <c r="G184" s="5">
        <v>8625</v>
      </c>
      <c r="H184" s="2">
        <v>9</v>
      </c>
      <c r="I184" s="2">
        <v>4</v>
      </c>
      <c r="J184" s="4" t="s">
        <v>19</v>
      </c>
      <c r="K184" s="4" t="s">
        <v>28</v>
      </c>
      <c r="L184" s="4" t="s">
        <v>43</v>
      </c>
      <c r="M184" s="5">
        <v>103500</v>
      </c>
      <c r="N184" s="4" t="s">
        <v>29</v>
      </c>
      <c r="O184" s="4" t="s">
        <v>23</v>
      </c>
      <c r="P184" s="4" t="s">
        <v>52</v>
      </c>
    </row>
    <row r="185" spans="1:16" x14ac:dyDescent="0.3">
      <c r="A185" s="2">
        <v>462</v>
      </c>
      <c r="B185" s="3">
        <v>44179</v>
      </c>
      <c r="C185" s="4" t="s">
        <v>37</v>
      </c>
      <c r="D185" s="4" t="s">
        <v>41</v>
      </c>
      <c r="E185" s="4" t="s">
        <v>18</v>
      </c>
      <c r="F185" s="2">
        <v>33</v>
      </c>
      <c r="G185" s="5">
        <v>10553</v>
      </c>
      <c r="H185" s="2">
        <v>8</v>
      </c>
      <c r="I185" s="2">
        <v>5</v>
      </c>
      <c r="J185" s="4" t="s">
        <v>35</v>
      </c>
      <c r="K185" s="4" t="s">
        <v>36</v>
      </c>
      <c r="L185" s="4" t="s">
        <v>39</v>
      </c>
      <c r="M185" s="5">
        <v>126636</v>
      </c>
      <c r="N185" s="4" t="s">
        <v>22</v>
      </c>
      <c r="O185" s="4" t="s">
        <v>23</v>
      </c>
      <c r="P185" s="4" t="s">
        <v>52</v>
      </c>
    </row>
    <row r="186" spans="1:16" x14ac:dyDescent="0.3">
      <c r="A186" s="2">
        <v>467</v>
      </c>
      <c r="B186" s="3">
        <v>44977</v>
      </c>
      <c r="C186" s="4" t="s">
        <v>16</v>
      </c>
      <c r="D186" s="4" t="s">
        <v>17</v>
      </c>
      <c r="E186" s="4" t="s">
        <v>27</v>
      </c>
      <c r="F186" s="2">
        <v>28</v>
      </c>
      <c r="G186" s="5">
        <v>11808</v>
      </c>
      <c r="H186" s="2">
        <v>8</v>
      </c>
      <c r="I186" s="2">
        <v>4</v>
      </c>
      <c r="J186" s="4" t="s">
        <v>19</v>
      </c>
      <c r="K186" s="4" t="s">
        <v>28</v>
      </c>
      <c r="L186" s="4" t="s">
        <v>43</v>
      </c>
      <c r="M186" s="5">
        <v>141696</v>
      </c>
      <c r="N186" s="4" t="s">
        <v>32</v>
      </c>
      <c r="O186" s="4" t="s">
        <v>23</v>
      </c>
      <c r="P186" s="4" t="s">
        <v>52</v>
      </c>
    </row>
    <row r="187" spans="1:16" x14ac:dyDescent="0.3">
      <c r="A187" s="2">
        <v>479</v>
      </c>
      <c r="B187" s="3">
        <v>41042</v>
      </c>
      <c r="C187" s="4" t="s">
        <v>46</v>
      </c>
      <c r="D187" s="4" t="s">
        <v>51</v>
      </c>
      <c r="E187" s="4" t="s">
        <v>27</v>
      </c>
      <c r="F187" s="2">
        <v>51</v>
      </c>
      <c r="G187" s="5">
        <v>6147</v>
      </c>
      <c r="H187" s="2">
        <v>11</v>
      </c>
      <c r="I187" s="2">
        <v>4</v>
      </c>
      <c r="J187" s="4" t="s">
        <v>19</v>
      </c>
      <c r="K187" s="4" t="s">
        <v>28</v>
      </c>
      <c r="L187" s="4" t="s">
        <v>21</v>
      </c>
      <c r="M187" s="5">
        <v>73764</v>
      </c>
      <c r="N187" s="4" t="s">
        <v>29</v>
      </c>
      <c r="O187" s="4" t="s">
        <v>23</v>
      </c>
      <c r="P187" s="4" t="s">
        <v>52</v>
      </c>
    </row>
    <row r="188" spans="1:16" x14ac:dyDescent="0.3">
      <c r="A188" s="2">
        <v>481</v>
      </c>
      <c r="B188" s="3">
        <v>44377</v>
      </c>
      <c r="C188" s="4" t="s">
        <v>44</v>
      </c>
      <c r="D188" s="4" t="s">
        <v>50</v>
      </c>
      <c r="E188" s="4" t="s">
        <v>18</v>
      </c>
      <c r="F188" s="2">
        <v>29</v>
      </c>
      <c r="G188" s="5">
        <v>14699</v>
      </c>
      <c r="H188" s="2">
        <v>14</v>
      </c>
      <c r="I188" s="2">
        <v>5</v>
      </c>
      <c r="J188" s="4" t="s">
        <v>19</v>
      </c>
      <c r="K188" s="4" t="s">
        <v>28</v>
      </c>
      <c r="L188" s="4" t="s">
        <v>42</v>
      </c>
      <c r="M188" s="5">
        <v>176388</v>
      </c>
      <c r="N188" s="4" t="s">
        <v>32</v>
      </c>
      <c r="O188" s="4" t="s">
        <v>23</v>
      </c>
      <c r="P188" s="4" t="s">
        <v>52</v>
      </c>
    </row>
    <row r="189" spans="1:16" x14ac:dyDescent="0.3">
      <c r="A189" s="2">
        <v>485</v>
      </c>
      <c r="B189" s="3">
        <v>44553</v>
      </c>
      <c r="C189" s="4" t="s">
        <v>33</v>
      </c>
      <c r="D189" s="4" t="s">
        <v>34</v>
      </c>
      <c r="E189" s="4" t="s">
        <v>18</v>
      </c>
      <c r="F189" s="2">
        <v>22</v>
      </c>
      <c r="G189" s="5">
        <v>6783</v>
      </c>
      <c r="H189" s="2">
        <v>11</v>
      </c>
      <c r="I189" s="2">
        <v>4</v>
      </c>
      <c r="J189" s="4" t="s">
        <v>19</v>
      </c>
      <c r="K189" s="4" t="s">
        <v>36</v>
      </c>
      <c r="L189" s="4" t="s">
        <v>39</v>
      </c>
      <c r="M189" s="5">
        <v>81396</v>
      </c>
      <c r="N189" s="4" t="s">
        <v>32</v>
      </c>
      <c r="O189" s="4" t="s">
        <v>23</v>
      </c>
      <c r="P189" s="4" t="s">
        <v>52</v>
      </c>
    </row>
    <row r="190" spans="1:16" x14ac:dyDescent="0.3">
      <c r="A190" s="2">
        <v>488</v>
      </c>
      <c r="B190" s="3">
        <v>44096</v>
      </c>
      <c r="C190" s="4" t="s">
        <v>25</v>
      </c>
      <c r="D190" s="4" t="s">
        <v>26</v>
      </c>
      <c r="E190" s="4" t="s">
        <v>18</v>
      </c>
      <c r="F190" s="2">
        <v>41</v>
      </c>
      <c r="G190" s="5">
        <v>9349</v>
      </c>
      <c r="H190" s="2">
        <v>12</v>
      </c>
      <c r="I190" s="2">
        <v>4</v>
      </c>
      <c r="J190" s="4" t="s">
        <v>19</v>
      </c>
      <c r="K190" s="4" t="s">
        <v>28</v>
      </c>
      <c r="L190" s="4" t="s">
        <v>43</v>
      </c>
      <c r="M190" s="5">
        <v>112188</v>
      </c>
      <c r="N190" s="4" t="s">
        <v>22</v>
      </c>
      <c r="O190" s="4" t="s">
        <v>23</v>
      </c>
      <c r="P190" s="4" t="s">
        <v>52</v>
      </c>
    </row>
    <row r="191" spans="1:16" x14ac:dyDescent="0.3">
      <c r="A191" s="2">
        <v>489</v>
      </c>
      <c r="B191" s="3">
        <v>42642</v>
      </c>
      <c r="C191" s="4" t="s">
        <v>16</v>
      </c>
      <c r="D191" s="4" t="s">
        <v>17</v>
      </c>
      <c r="E191" s="4" t="s">
        <v>27</v>
      </c>
      <c r="F191" s="2">
        <v>60</v>
      </c>
      <c r="G191" s="5">
        <v>4897</v>
      </c>
      <c r="H191" s="2">
        <v>13</v>
      </c>
      <c r="I191" s="2">
        <v>5</v>
      </c>
      <c r="J191" s="4" t="s">
        <v>19</v>
      </c>
      <c r="K191" s="4" t="s">
        <v>36</v>
      </c>
      <c r="L191" s="4" t="s">
        <v>31</v>
      </c>
      <c r="M191" s="5">
        <v>58764</v>
      </c>
      <c r="N191" s="4" t="s">
        <v>29</v>
      </c>
      <c r="O191" s="4" t="s">
        <v>23</v>
      </c>
      <c r="P191" s="4" t="s">
        <v>52</v>
      </c>
    </row>
    <row r="192" spans="1:16" x14ac:dyDescent="0.3">
      <c r="A192" s="2">
        <v>491</v>
      </c>
      <c r="B192" s="3">
        <v>42146</v>
      </c>
      <c r="C192" s="4" t="s">
        <v>33</v>
      </c>
      <c r="D192" s="4" t="s">
        <v>34</v>
      </c>
      <c r="E192" s="4" t="s">
        <v>18</v>
      </c>
      <c r="F192" s="2">
        <v>59</v>
      </c>
      <c r="G192" s="5">
        <v>7279</v>
      </c>
      <c r="H192" s="2">
        <v>12</v>
      </c>
      <c r="I192" s="2">
        <v>4</v>
      </c>
      <c r="J192" s="4" t="s">
        <v>19</v>
      </c>
      <c r="K192" s="4" t="s">
        <v>28</v>
      </c>
      <c r="L192" s="4" t="s">
        <v>43</v>
      </c>
      <c r="M192" s="5">
        <v>87348</v>
      </c>
      <c r="N192" s="4" t="s">
        <v>29</v>
      </c>
      <c r="O192" s="4" t="s">
        <v>23</v>
      </c>
      <c r="P192" s="4" t="s">
        <v>52</v>
      </c>
    </row>
    <row r="193" spans="1:16" x14ac:dyDescent="0.3">
      <c r="A193" s="2">
        <v>494</v>
      </c>
      <c r="B193" s="3">
        <v>45045</v>
      </c>
      <c r="C193" s="4" t="s">
        <v>33</v>
      </c>
      <c r="D193" s="4" t="s">
        <v>49</v>
      </c>
      <c r="E193" s="4" t="s">
        <v>18</v>
      </c>
      <c r="F193" s="2">
        <v>40</v>
      </c>
      <c r="G193" s="5">
        <v>11185</v>
      </c>
      <c r="H193" s="2">
        <v>14</v>
      </c>
      <c r="I193" s="2">
        <v>4</v>
      </c>
      <c r="J193" s="4" t="s">
        <v>35</v>
      </c>
      <c r="K193" s="4" t="s">
        <v>28</v>
      </c>
      <c r="L193" s="4" t="s">
        <v>21</v>
      </c>
      <c r="M193" s="5">
        <v>134220</v>
      </c>
      <c r="N193" s="4" t="s">
        <v>22</v>
      </c>
      <c r="O193" s="4" t="s">
        <v>23</v>
      </c>
      <c r="P193" s="4" t="s">
        <v>52</v>
      </c>
    </row>
    <row r="194" spans="1:16" x14ac:dyDescent="0.3">
      <c r="A194" s="2">
        <v>15</v>
      </c>
      <c r="B194" s="3">
        <v>43753</v>
      </c>
      <c r="C194" s="4" t="s">
        <v>46</v>
      </c>
      <c r="D194" s="4" t="s">
        <v>48</v>
      </c>
      <c r="E194" s="4" t="s">
        <v>27</v>
      </c>
      <c r="F194" s="2">
        <v>46</v>
      </c>
      <c r="G194" s="5">
        <v>5189</v>
      </c>
      <c r="H194" s="2">
        <v>10</v>
      </c>
      <c r="I194" s="2">
        <v>3</v>
      </c>
      <c r="J194" s="4" t="s">
        <v>19</v>
      </c>
      <c r="K194" s="4" t="s">
        <v>20</v>
      </c>
      <c r="L194" s="4" t="s">
        <v>21</v>
      </c>
      <c r="M194" s="5">
        <v>62268</v>
      </c>
      <c r="N194" s="4" t="s">
        <v>29</v>
      </c>
      <c r="O194" s="4" t="s">
        <v>23</v>
      </c>
      <c r="P194" s="4" t="s">
        <v>53</v>
      </c>
    </row>
    <row r="195" spans="1:16" x14ac:dyDescent="0.3">
      <c r="A195" s="2">
        <v>30</v>
      </c>
      <c r="B195" s="3">
        <v>44579</v>
      </c>
      <c r="C195" s="4" t="s">
        <v>37</v>
      </c>
      <c r="D195" s="4" t="s">
        <v>41</v>
      </c>
      <c r="E195" s="4" t="s">
        <v>18</v>
      </c>
      <c r="F195" s="2">
        <v>34</v>
      </c>
      <c r="G195" s="5">
        <v>18565</v>
      </c>
      <c r="H195" s="2">
        <v>13</v>
      </c>
      <c r="I195" s="2">
        <v>3</v>
      </c>
      <c r="J195" s="4" t="s">
        <v>35</v>
      </c>
      <c r="K195" s="4" t="s">
        <v>36</v>
      </c>
      <c r="L195" s="4" t="s">
        <v>43</v>
      </c>
      <c r="M195" s="5">
        <v>222780</v>
      </c>
      <c r="N195" s="4" t="s">
        <v>22</v>
      </c>
      <c r="O195" s="4" t="s">
        <v>23</v>
      </c>
      <c r="P195" s="4" t="s">
        <v>53</v>
      </c>
    </row>
    <row r="196" spans="1:16" x14ac:dyDescent="0.3">
      <c r="A196" s="2">
        <v>33</v>
      </c>
      <c r="B196" s="3">
        <v>44828</v>
      </c>
      <c r="C196" s="4" t="s">
        <v>44</v>
      </c>
      <c r="D196" s="4" t="s">
        <v>50</v>
      </c>
      <c r="E196" s="4" t="s">
        <v>27</v>
      </c>
      <c r="F196" s="2">
        <v>44</v>
      </c>
      <c r="G196" s="5">
        <v>4897</v>
      </c>
      <c r="H196" s="2">
        <v>11</v>
      </c>
      <c r="I196" s="2">
        <v>3</v>
      </c>
      <c r="J196" s="4" t="s">
        <v>19</v>
      </c>
      <c r="K196" s="4" t="s">
        <v>20</v>
      </c>
      <c r="L196" s="4" t="s">
        <v>21</v>
      </c>
      <c r="M196" s="5">
        <v>58764</v>
      </c>
      <c r="N196" s="4" t="s">
        <v>22</v>
      </c>
      <c r="O196" s="4" t="s">
        <v>23</v>
      </c>
      <c r="P196" s="4" t="s">
        <v>53</v>
      </c>
    </row>
    <row r="197" spans="1:16" x14ac:dyDescent="0.3">
      <c r="A197" s="2">
        <v>56</v>
      </c>
      <c r="B197" s="3">
        <v>40555</v>
      </c>
      <c r="C197" s="4" t="s">
        <v>33</v>
      </c>
      <c r="D197" s="4" t="s">
        <v>49</v>
      </c>
      <c r="E197" s="4" t="s">
        <v>18</v>
      </c>
      <c r="F197" s="2">
        <v>54</v>
      </c>
      <c r="G197" s="5">
        <v>12718</v>
      </c>
      <c r="H197" s="2">
        <v>15</v>
      </c>
      <c r="I197" s="2">
        <v>3</v>
      </c>
      <c r="J197" s="4" t="s">
        <v>35</v>
      </c>
      <c r="K197" s="4" t="s">
        <v>20</v>
      </c>
      <c r="L197" s="4" t="s">
        <v>43</v>
      </c>
      <c r="M197" s="5">
        <v>152616</v>
      </c>
      <c r="N197" s="4" t="s">
        <v>29</v>
      </c>
      <c r="O197" s="4" t="s">
        <v>23</v>
      </c>
      <c r="P197" s="4" t="s">
        <v>53</v>
      </c>
    </row>
    <row r="198" spans="1:16" x14ac:dyDescent="0.3">
      <c r="A198" s="2">
        <v>66</v>
      </c>
      <c r="B198" s="3">
        <v>45081</v>
      </c>
      <c r="C198" s="4" t="s">
        <v>37</v>
      </c>
      <c r="D198" s="4" t="s">
        <v>38</v>
      </c>
      <c r="E198" s="4" t="s">
        <v>18</v>
      </c>
      <c r="F198" s="2">
        <v>38</v>
      </c>
      <c r="G198" s="5">
        <v>6054</v>
      </c>
      <c r="H198" s="2">
        <v>8</v>
      </c>
      <c r="I198" s="2">
        <v>3</v>
      </c>
      <c r="J198" s="4" t="s">
        <v>35</v>
      </c>
      <c r="K198" s="4" t="s">
        <v>28</v>
      </c>
      <c r="L198" s="4" t="s">
        <v>31</v>
      </c>
      <c r="M198" s="5">
        <v>72648</v>
      </c>
      <c r="N198" s="4" t="s">
        <v>22</v>
      </c>
      <c r="O198" s="4" t="s">
        <v>23</v>
      </c>
      <c r="P198" s="4" t="s">
        <v>53</v>
      </c>
    </row>
    <row r="199" spans="1:16" x14ac:dyDescent="0.3">
      <c r="A199" s="2">
        <v>76</v>
      </c>
      <c r="B199" s="3">
        <v>40762</v>
      </c>
      <c r="C199" s="4" t="s">
        <v>46</v>
      </c>
      <c r="D199" s="4" t="s">
        <v>47</v>
      </c>
      <c r="E199" s="4" t="s">
        <v>27</v>
      </c>
      <c r="F199" s="2">
        <v>52</v>
      </c>
      <c r="G199" s="5">
        <v>17987</v>
      </c>
      <c r="H199" s="2">
        <v>11</v>
      </c>
      <c r="I199" s="2">
        <v>3</v>
      </c>
      <c r="J199" s="4" t="s">
        <v>19</v>
      </c>
      <c r="K199" s="4" t="s">
        <v>20</v>
      </c>
      <c r="L199" s="4" t="s">
        <v>39</v>
      </c>
      <c r="M199" s="5">
        <v>215844</v>
      </c>
      <c r="N199" s="4" t="s">
        <v>29</v>
      </c>
      <c r="O199" s="4" t="s">
        <v>23</v>
      </c>
      <c r="P199" s="4" t="s">
        <v>53</v>
      </c>
    </row>
    <row r="200" spans="1:16" x14ac:dyDescent="0.3">
      <c r="A200" s="2">
        <v>109</v>
      </c>
      <c r="B200" s="3">
        <v>45039</v>
      </c>
      <c r="C200" s="4" t="s">
        <v>44</v>
      </c>
      <c r="D200" s="4" t="s">
        <v>50</v>
      </c>
      <c r="E200" s="4" t="s">
        <v>27</v>
      </c>
      <c r="F200" s="2">
        <v>52</v>
      </c>
      <c r="G200" s="5">
        <v>8345</v>
      </c>
      <c r="H200" s="2">
        <v>8</v>
      </c>
      <c r="I200" s="2">
        <v>3</v>
      </c>
      <c r="J200" s="4" t="s">
        <v>35</v>
      </c>
      <c r="K200" s="4" t="s">
        <v>36</v>
      </c>
      <c r="L200" s="4" t="s">
        <v>43</v>
      </c>
      <c r="M200" s="5">
        <v>100140</v>
      </c>
      <c r="N200" s="4" t="s">
        <v>29</v>
      </c>
      <c r="O200" s="4" t="s">
        <v>23</v>
      </c>
      <c r="P200" s="4" t="s">
        <v>53</v>
      </c>
    </row>
    <row r="201" spans="1:16" x14ac:dyDescent="0.3">
      <c r="A201" s="2">
        <v>111</v>
      </c>
      <c r="B201" s="3">
        <v>44430</v>
      </c>
      <c r="C201" s="4" t="s">
        <v>37</v>
      </c>
      <c r="D201" s="4" t="s">
        <v>38</v>
      </c>
      <c r="E201" s="4" t="s">
        <v>18</v>
      </c>
      <c r="F201" s="2">
        <v>38</v>
      </c>
      <c r="G201" s="5">
        <v>17026</v>
      </c>
      <c r="H201" s="2">
        <v>11</v>
      </c>
      <c r="I201" s="2">
        <v>3</v>
      </c>
      <c r="J201" s="4" t="s">
        <v>19</v>
      </c>
      <c r="K201" s="4" t="s">
        <v>28</v>
      </c>
      <c r="L201" s="4" t="s">
        <v>21</v>
      </c>
      <c r="M201" s="5">
        <v>204312</v>
      </c>
      <c r="N201" s="4" t="s">
        <v>22</v>
      </c>
      <c r="O201" s="4" t="s">
        <v>23</v>
      </c>
      <c r="P201" s="4" t="s">
        <v>53</v>
      </c>
    </row>
    <row r="202" spans="1:16" x14ac:dyDescent="0.3">
      <c r="A202" s="2">
        <v>120</v>
      </c>
      <c r="B202" s="3">
        <v>41840</v>
      </c>
      <c r="C202" s="4" t="s">
        <v>33</v>
      </c>
      <c r="D202" s="4" t="s">
        <v>34</v>
      </c>
      <c r="E202" s="4" t="s">
        <v>18</v>
      </c>
      <c r="F202" s="2">
        <v>23</v>
      </c>
      <c r="G202" s="5">
        <v>16765</v>
      </c>
      <c r="H202" s="2">
        <v>14</v>
      </c>
      <c r="I202" s="2">
        <v>3</v>
      </c>
      <c r="J202" s="4" t="s">
        <v>19</v>
      </c>
      <c r="K202" s="4" t="s">
        <v>28</v>
      </c>
      <c r="L202" s="4" t="s">
        <v>43</v>
      </c>
      <c r="M202" s="5">
        <v>201180</v>
      </c>
      <c r="N202" s="4" t="s">
        <v>32</v>
      </c>
      <c r="O202" s="4" t="s">
        <v>23</v>
      </c>
      <c r="P202" s="4" t="s">
        <v>53</v>
      </c>
    </row>
    <row r="203" spans="1:16" x14ac:dyDescent="0.3">
      <c r="A203" s="2">
        <v>122</v>
      </c>
      <c r="B203" s="3">
        <v>42697</v>
      </c>
      <c r="C203" s="4" t="s">
        <v>46</v>
      </c>
      <c r="D203" s="4" t="s">
        <v>48</v>
      </c>
      <c r="E203" s="4" t="s">
        <v>27</v>
      </c>
      <c r="F203" s="2">
        <v>49</v>
      </c>
      <c r="G203" s="5">
        <v>12471</v>
      </c>
      <c r="H203" s="2">
        <v>10</v>
      </c>
      <c r="I203" s="2">
        <v>3</v>
      </c>
      <c r="J203" s="4" t="s">
        <v>35</v>
      </c>
      <c r="K203" s="4" t="s">
        <v>20</v>
      </c>
      <c r="L203" s="4" t="s">
        <v>21</v>
      </c>
      <c r="M203" s="5">
        <v>149652</v>
      </c>
      <c r="N203" s="4" t="s">
        <v>29</v>
      </c>
      <c r="O203" s="4" t="s">
        <v>23</v>
      </c>
      <c r="P203" s="4" t="s">
        <v>53</v>
      </c>
    </row>
    <row r="204" spans="1:16" x14ac:dyDescent="0.3">
      <c r="A204" s="2">
        <v>124</v>
      </c>
      <c r="B204" s="3">
        <v>43817</v>
      </c>
      <c r="C204" s="4" t="s">
        <v>25</v>
      </c>
      <c r="D204" s="4" t="s">
        <v>30</v>
      </c>
      <c r="E204" s="4" t="s">
        <v>27</v>
      </c>
      <c r="F204" s="2">
        <v>22</v>
      </c>
      <c r="G204" s="5">
        <v>17819</v>
      </c>
      <c r="H204" s="2">
        <v>8</v>
      </c>
      <c r="I204" s="2">
        <v>3</v>
      </c>
      <c r="J204" s="4" t="s">
        <v>35</v>
      </c>
      <c r="K204" s="4" t="s">
        <v>20</v>
      </c>
      <c r="L204" s="4" t="s">
        <v>31</v>
      </c>
      <c r="M204" s="5">
        <v>213828</v>
      </c>
      <c r="N204" s="4" t="s">
        <v>32</v>
      </c>
      <c r="O204" s="4" t="s">
        <v>23</v>
      </c>
      <c r="P204" s="4" t="s">
        <v>53</v>
      </c>
    </row>
    <row r="205" spans="1:16" x14ac:dyDescent="0.3">
      <c r="A205" s="2">
        <v>136</v>
      </c>
      <c r="B205" s="3">
        <v>41456</v>
      </c>
      <c r="C205" s="4" t="s">
        <v>16</v>
      </c>
      <c r="D205" s="4" t="s">
        <v>17</v>
      </c>
      <c r="E205" s="4" t="s">
        <v>27</v>
      </c>
      <c r="F205" s="2">
        <v>51</v>
      </c>
      <c r="G205" s="5">
        <v>4966</v>
      </c>
      <c r="H205" s="2">
        <v>10</v>
      </c>
      <c r="I205" s="2">
        <v>3</v>
      </c>
      <c r="J205" s="4" t="s">
        <v>35</v>
      </c>
      <c r="K205" s="4" t="s">
        <v>28</v>
      </c>
      <c r="L205" s="4" t="s">
        <v>39</v>
      </c>
      <c r="M205" s="5">
        <v>59592</v>
      </c>
      <c r="N205" s="4" t="s">
        <v>29</v>
      </c>
      <c r="O205" s="4" t="s">
        <v>23</v>
      </c>
      <c r="P205" s="4" t="s">
        <v>53</v>
      </c>
    </row>
    <row r="206" spans="1:16" x14ac:dyDescent="0.3">
      <c r="A206" s="2">
        <v>143</v>
      </c>
      <c r="B206" s="3">
        <v>44899</v>
      </c>
      <c r="C206" s="4" t="s">
        <v>46</v>
      </c>
      <c r="D206" s="4" t="s">
        <v>51</v>
      </c>
      <c r="E206" s="4" t="s">
        <v>27</v>
      </c>
      <c r="F206" s="2">
        <v>43</v>
      </c>
      <c r="G206" s="5">
        <v>17122</v>
      </c>
      <c r="H206" s="2">
        <v>12</v>
      </c>
      <c r="I206" s="2">
        <v>3</v>
      </c>
      <c r="J206" s="4" t="s">
        <v>19</v>
      </c>
      <c r="K206" s="4" t="s">
        <v>36</v>
      </c>
      <c r="L206" s="4" t="s">
        <v>42</v>
      </c>
      <c r="M206" s="5">
        <v>205464</v>
      </c>
      <c r="N206" s="4" t="s">
        <v>22</v>
      </c>
      <c r="O206" s="4" t="s">
        <v>23</v>
      </c>
      <c r="P206" s="4" t="s">
        <v>53</v>
      </c>
    </row>
    <row r="207" spans="1:16" x14ac:dyDescent="0.3">
      <c r="A207" s="2">
        <v>152</v>
      </c>
      <c r="B207" s="3">
        <v>45109</v>
      </c>
      <c r="C207" s="4" t="s">
        <v>16</v>
      </c>
      <c r="D207" s="4" t="s">
        <v>40</v>
      </c>
      <c r="E207" s="4" t="s">
        <v>27</v>
      </c>
      <c r="F207" s="2">
        <v>45</v>
      </c>
      <c r="G207" s="5">
        <v>14729</v>
      </c>
      <c r="H207" s="2">
        <v>12</v>
      </c>
      <c r="I207" s="2">
        <v>3</v>
      </c>
      <c r="J207" s="4" t="s">
        <v>35</v>
      </c>
      <c r="K207" s="4" t="s">
        <v>28</v>
      </c>
      <c r="L207" s="4" t="s">
        <v>42</v>
      </c>
      <c r="M207" s="5">
        <v>176748</v>
      </c>
      <c r="N207" s="4" t="s">
        <v>22</v>
      </c>
      <c r="O207" s="4" t="s">
        <v>23</v>
      </c>
      <c r="P207" s="4" t="s">
        <v>53</v>
      </c>
    </row>
    <row r="208" spans="1:16" x14ac:dyDescent="0.3">
      <c r="A208" s="2">
        <v>178</v>
      </c>
      <c r="B208" s="3">
        <v>44795</v>
      </c>
      <c r="C208" s="4" t="s">
        <v>33</v>
      </c>
      <c r="D208" s="4" t="s">
        <v>49</v>
      </c>
      <c r="E208" s="4" t="s">
        <v>18</v>
      </c>
      <c r="F208" s="2">
        <v>42</v>
      </c>
      <c r="G208" s="5">
        <v>14590</v>
      </c>
      <c r="H208" s="2">
        <v>9</v>
      </c>
      <c r="I208" s="2">
        <v>3</v>
      </c>
      <c r="J208" s="4" t="s">
        <v>35</v>
      </c>
      <c r="K208" s="4" t="s">
        <v>20</v>
      </c>
      <c r="L208" s="4" t="s">
        <v>21</v>
      </c>
      <c r="M208" s="5">
        <v>175080</v>
      </c>
      <c r="N208" s="4" t="s">
        <v>22</v>
      </c>
      <c r="O208" s="4" t="s">
        <v>23</v>
      </c>
      <c r="P208" s="4" t="s">
        <v>53</v>
      </c>
    </row>
    <row r="209" spans="1:16" x14ac:dyDescent="0.3">
      <c r="A209" s="2">
        <v>194</v>
      </c>
      <c r="B209" s="3">
        <v>43209</v>
      </c>
      <c r="C209" s="4" t="s">
        <v>37</v>
      </c>
      <c r="D209" s="4" t="s">
        <v>41</v>
      </c>
      <c r="E209" s="4" t="s">
        <v>27</v>
      </c>
      <c r="F209" s="2">
        <v>38</v>
      </c>
      <c r="G209" s="5">
        <v>6717</v>
      </c>
      <c r="H209" s="2">
        <v>12</v>
      </c>
      <c r="I209" s="2">
        <v>3</v>
      </c>
      <c r="J209" s="4" t="s">
        <v>19</v>
      </c>
      <c r="K209" s="4" t="s">
        <v>28</v>
      </c>
      <c r="L209" s="4" t="s">
        <v>42</v>
      </c>
      <c r="M209" s="5">
        <v>80604</v>
      </c>
      <c r="N209" s="4" t="s">
        <v>22</v>
      </c>
      <c r="O209" s="4" t="s">
        <v>23</v>
      </c>
      <c r="P209" s="4" t="s">
        <v>53</v>
      </c>
    </row>
    <row r="210" spans="1:16" x14ac:dyDescent="0.3">
      <c r="A210" s="2">
        <v>196</v>
      </c>
      <c r="B210" s="3">
        <v>43020</v>
      </c>
      <c r="C210" s="4" t="s">
        <v>46</v>
      </c>
      <c r="D210" s="4" t="s">
        <v>51</v>
      </c>
      <c r="E210" s="4" t="s">
        <v>27</v>
      </c>
      <c r="F210" s="2">
        <v>37</v>
      </c>
      <c r="G210" s="5">
        <v>10907</v>
      </c>
      <c r="H210" s="2">
        <v>8</v>
      </c>
      <c r="I210" s="2">
        <v>3</v>
      </c>
      <c r="J210" s="4" t="s">
        <v>35</v>
      </c>
      <c r="K210" s="4" t="s">
        <v>36</v>
      </c>
      <c r="L210" s="4" t="s">
        <v>42</v>
      </c>
      <c r="M210" s="5">
        <v>130884</v>
      </c>
      <c r="N210" s="4" t="s">
        <v>22</v>
      </c>
      <c r="O210" s="4" t="s">
        <v>23</v>
      </c>
      <c r="P210" s="4" t="s">
        <v>53</v>
      </c>
    </row>
    <row r="211" spans="1:16" x14ac:dyDescent="0.3">
      <c r="A211" s="2">
        <v>200</v>
      </c>
      <c r="B211" s="3">
        <v>43010</v>
      </c>
      <c r="C211" s="4" t="s">
        <v>46</v>
      </c>
      <c r="D211" s="4" t="s">
        <v>51</v>
      </c>
      <c r="E211" s="4" t="s">
        <v>18</v>
      </c>
      <c r="F211" s="2">
        <v>56</v>
      </c>
      <c r="G211" s="5">
        <v>16313</v>
      </c>
      <c r="H211" s="2">
        <v>12</v>
      </c>
      <c r="I211" s="2">
        <v>3</v>
      </c>
      <c r="J211" s="4" t="s">
        <v>35</v>
      </c>
      <c r="K211" s="4" t="s">
        <v>20</v>
      </c>
      <c r="L211" s="4" t="s">
        <v>21</v>
      </c>
      <c r="M211" s="5">
        <v>195756</v>
      </c>
      <c r="N211" s="4" t="s">
        <v>29</v>
      </c>
      <c r="O211" s="4" t="s">
        <v>23</v>
      </c>
      <c r="P211" s="4" t="s">
        <v>53</v>
      </c>
    </row>
    <row r="212" spans="1:16" x14ac:dyDescent="0.3">
      <c r="A212" s="2">
        <v>204</v>
      </c>
      <c r="B212" s="3">
        <v>44755</v>
      </c>
      <c r="C212" s="4" t="s">
        <v>44</v>
      </c>
      <c r="D212" s="4" t="s">
        <v>50</v>
      </c>
      <c r="E212" s="4" t="s">
        <v>18</v>
      </c>
      <c r="F212" s="2">
        <v>59</v>
      </c>
      <c r="G212" s="5">
        <v>17190</v>
      </c>
      <c r="H212" s="2">
        <v>10</v>
      </c>
      <c r="I212" s="2">
        <v>3</v>
      </c>
      <c r="J212" s="4" t="s">
        <v>35</v>
      </c>
      <c r="K212" s="4" t="s">
        <v>20</v>
      </c>
      <c r="L212" s="4" t="s">
        <v>43</v>
      </c>
      <c r="M212" s="5">
        <v>206280</v>
      </c>
      <c r="N212" s="4" t="s">
        <v>29</v>
      </c>
      <c r="O212" s="4" t="s">
        <v>23</v>
      </c>
      <c r="P212" s="4" t="s">
        <v>53</v>
      </c>
    </row>
    <row r="213" spans="1:16" x14ac:dyDescent="0.3">
      <c r="A213" s="2">
        <v>215</v>
      </c>
      <c r="B213" s="3">
        <v>43396</v>
      </c>
      <c r="C213" s="4" t="s">
        <v>16</v>
      </c>
      <c r="D213" s="4" t="s">
        <v>17</v>
      </c>
      <c r="E213" s="4" t="s">
        <v>18</v>
      </c>
      <c r="F213" s="2">
        <v>35</v>
      </c>
      <c r="G213" s="5">
        <v>19631</v>
      </c>
      <c r="H213" s="2">
        <v>11</v>
      </c>
      <c r="I213" s="2">
        <v>3</v>
      </c>
      <c r="J213" s="4" t="s">
        <v>19</v>
      </c>
      <c r="K213" s="4" t="s">
        <v>28</v>
      </c>
      <c r="L213" s="4" t="s">
        <v>31</v>
      </c>
      <c r="M213" s="5">
        <v>235572</v>
      </c>
      <c r="N213" s="4" t="s">
        <v>22</v>
      </c>
      <c r="O213" s="4" t="s">
        <v>23</v>
      </c>
      <c r="P213" s="4" t="s">
        <v>53</v>
      </c>
    </row>
    <row r="214" spans="1:16" x14ac:dyDescent="0.3">
      <c r="A214" s="2">
        <v>242</v>
      </c>
      <c r="B214" s="3">
        <v>42291</v>
      </c>
      <c r="C214" s="4" t="s">
        <v>46</v>
      </c>
      <c r="D214" s="4" t="s">
        <v>51</v>
      </c>
      <c r="E214" s="4" t="s">
        <v>18</v>
      </c>
      <c r="F214" s="2">
        <v>39</v>
      </c>
      <c r="G214" s="5">
        <v>4150</v>
      </c>
      <c r="H214" s="2">
        <v>13</v>
      </c>
      <c r="I214" s="2">
        <v>3</v>
      </c>
      <c r="J214" s="4" t="s">
        <v>19</v>
      </c>
      <c r="K214" s="4" t="s">
        <v>20</v>
      </c>
      <c r="L214" s="4" t="s">
        <v>39</v>
      </c>
      <c r="M214" s="5">
        <v>49800</v>
      </c>
      <c r="N214" s="4" t="s">
        <v>22</v>
      </c>
      <c r="O214" s="4" t="s">
        <v>23</v>
      </c>
      <c r="P214" s="4" t="s">
        <v>53</v>
      </c>
    </row>
    <row r="215" spans="1:16" x14ac:dyDescent="0.3">
      <c r="A215" s="2">
        <v>243</v>
      </c>
      <c r="B215" s="3">
        <v>41547</v>
      </c>
      <c r="C215" s="4" t="s">
        <v>46</v>
      </c>
      <c r="D215" s="4" t="s">
        <v>47</v>
      </c>
      <c r="E215" s="4" t="s">
        <v>27</v>
      </c>
      <c r="F215" s="2">
        <v>44</v>
      </c>
      <c r="G215" s="5">
        <v>19019</v>
      </c>
      <c r="H215" s="2">
        <v>11</v>
      </c>
      <c r="I215" s="2">
        <v>3</v>
      </c>
      <c r="J215" s="4" t="s">
        <v>19</v>
      </c>
      <c r="K215" s="4" t="s">
        <v>20</v>
      </c>
      <c r="L215" s="4" t="s">
        <v>43</v>
      </c>
      <c r="M215" s="5">
        <v>228228</v>
      </c>
      <c r="N215" s="4" t="s">
        <v>22</v>
      </c>
      <c r="O215" s="4" t="s">
        <v>23</v>
      </c>
      <c r="P215" s="4" t="s">
        <v>53</v>
      </c>
    </row>
    <row r="216" spans="1:16" x14ac:dyDescent="0.3">
      <c r="A216" s="2">
        <v>244</v>
      </c>
      <c r="B216" s="3">
        <v>42869</v>
      </c>
      <c r="C216" s="4" t="s">
        <v>44</v>
      </c>
      <c r="D216" s="4" t="s">
        <v>45</v>
      </c>
      <c r="E216" s="4" t="s">
        <v>18</v>
      </c>
      <c r="F216" s="2">
        <v>44</v>
      </c>
      <c r="G216" s="5">
        <v>6943</v>
      </c>
      <c r="H216" s="2">
        <v>15</v>
      </c>
      <c r="I216" s="2">
        <v>3</v>
      </c>
      <c r="J216" s="4" t="s">
        <v>19</v>
      </c>
      <c r="K216" s="4" t="s">
        <v>20</v>
      </c>
      <c r="L216" s="4" t="s">
        <v>42</v>
      </c>
      <c r="M216" s="5">
        <v>83316</v>
      </c>
      <c r="N216" s="4" t="s">
        <v>22</v>
      </c>
      <c r="O216" s="4" t="s">
        <v>23</v>
      </c>
      <c r="P216" s="4" t="s">
        <v>53</v>
      </c>
    </row>
    <row r="217" spans="1:16" x14ac:dyDescent="0.3">
      <c r="A217" s="2">
        <v>248</v>
      </c>
      <c r="B217" s="3">
        <v>42418</v>
      </c>
      <c r="C217" s="4" t="s">
        <v>46</v>
      </c>
      <c r="D217" s="4" t="s">
        <v>48</v>
      </c>
      <c r="E217" s="4" t="s">
        <v>18</v>
      </c>
      <c r="F217" s="2">
        <v>38</v>
      </c>
      <c r="G217" s="5">
        <v>6074</v>
      </c>
      <c r="H217" s="2">
        <v>10</v>
      </c>
      <c r="I217" s="2">
        <v>3</v>
      </c>
      <c r="J217" s="4" t="s">
        <v>19</v>
      </c>
      <c r="K217" s="4" t="s">
        <v>36</v>
      </c>
      <c r="L217" s="4" t="s">
        <v>42</v>
      </c>
      <c r="M217" s="5">
        <v>72888</v>
      </c>
      <c r="N217" s="4" t="s">
        <v>22</v>
      </c>
      <c r="O217" s="4" t="s">
        <v>23</v>
      </c>
      <c r="P217" s="4" t="s">
        <v>53</v>
      </c>
    </row>
    <row r="218" spans="1:16" x14ac:dyDescent="0.3">
      <c r="A218" s="2">
        <v>257</v>
      </c>
      <c r="B218" s="3">
        <v>43870</v>
      </c>
      <c r="C218" s="4" t="s">
        <v>33</v>
      </c>
      <c r="D218" s="4" t="s">
        <v>34</v>
      </c>
      <c r="E218" s="4" t="s">
        <v>27</v>
      </c>
      <c r="F218" s="2">
        <v>31</v>
      </c>
      <c r="G218" s="5">
        <v>11061</v>
      </c>
      <c r="H218" s="2">
        <v>8</v>
      </c>
      <c r="I218" s="2">
        <v>3</v>
      </c>
      <c r="J218" s="4" t="s">
        <v>35</v>
      </c>
      <c r="K218" s="4" t="s">
        <v>28</v>
      </c>
      <c r="L218" s="4" t="s">
        <v>21</v>
      </c>
      <c r="M218" s="5">
        <v>132732</v>
      </c>
      <c r="N218" s="4" t="s">
        <v>22</v>
      </c>
      <c r="O218" s="4" t="s">
        <v>23</v>
      </c>
      <c r="P218" s="4" t="s">
        <v>53</v>
      </c>
    </row>
    <row r="219" spans="1:16" x14ac:dyDescent="0.3">
      <c r="A219" s="2">
        <v>279</v>
      </c>
      <c r="B219" s="3">
        <v>45101</v>
      </c>
      <c r="C219" s="4" t="s">
        <v>25</v>
      </c>
      <c r="D219" s="4" t="s">
        <v>26</v>
      </c>
      <c r="E219" s="4" t="s">
        <v>18</v>
      </c>
      <c r="F219" s="2">
        <v>46</v>
      </c>
      <c r="G219" s="5">
        <v>18462</v>
      </c>
      <c r="H219" s="2">
        <v>12</v>
      </c>
      <c r="I219" s="2">
        <v>3</v>
      </c>
      <c r="J219" s="4" t="s">
        <v>35</v>
      </c>
      <c r="K219" s="4" t="s">
        <v>28</v>
      </c>
      <c r="L219" s="4" t="s">
        <v>39</v>
      </c>
      <c r="M219" s="5">
        <v>221544</v>
      </c>
      <c r="N219" s="4" t="s">
        <v>29</v>
      </c>
      <c r="O219" s="4" t="s">
        <v>23</v>
      </c>
      <c r="P219" s="4" t="s">
        <v>53</v>
      </c>
    </row>
    <row r="220" spans="1:16" x14ac:dyDescent="0.3">
      <c r="A220" s="2">
        <v>294</v>
      </c>
      <c r="B220" s="3">
        <v>44358</v>
      </c>
      <c r="C220" s="4" t="s">
        <v>37</v>
      </c>
      <c r="D220" s="4" t="s">
        <v>38</v>
      </c>
      <c r="E220" s="4" t="s">
        <v>18</v>
      </c>
      <c r="F220" s="2">
        <v>31</v>
      </c>
      <c r="G220" s="5">
        <v>8868</v>
      </c>
      <c r="H220" s="2">
        <v>8</v>
      </c>
      <c r="I220" s="2">
        <v>3</v>
      </c>
      <c r="J220" s="4" t="s">
        <v>19</v>
      </c>
      <c r="K220" s="4" t="s">
        <v>36</v>
      </c>
      <c r="L220" s="4" t="s">
        <v>21</v>
      </c>
      <c r="M220" s="5">
        <v>106416</v>
      </c>
      <c r="N220" s="4" t="s">
        <v>22</v>
      </c>
      <c r="O220" s="4" t="s">
        <v>23</v>
      </c>
      <c r="P220" s="4" t="s">
        <v>53</v>
      </c>
    </row>
    <row r="221" spans="1:16" x14ac:dyDescent="0.3">
      <c r="A221" s="2">
        <v>309</v>
      </c>
      <c r="B221" s="3">
        <v>45054</v>
      </c>
      <c r="C221" s="4" t="s">
        <v>16</v>
      </c>
      <c r="D221" s="4" t="s">
        <v>17</v>
      </c>
      <c r="E221" s="4" t="s">
        <v>27</v>
      </c>
      <c r="F221" s="2">
        <v>59</v>
      </c>
      <c r="G221" s="5">
        <v>11547</v>
      </c>
      <c r="H221" s="2">
        <v>8</v>
      </c>
      <c r="I221" s="2">
        <v>3</v>
      </c>
      <c r="J221" s="4" t="s">
        <v>35</v>
      </c>
      <c r="K221" s="4" t="s">
        <v>36</v>
      </c>
      <c r="L221" s="4" t="s">
        <v>21</v>
      </c>
      <c r="M221" s="5">
        <v>138564</v>
      </c>
      <c r="N221" s="4" t="s">
        <v>29</v>
      </c>
      <c r="O221" s="4" t="s">
        <v>23</v>
      </c>
      <c r="P221" s="4" t="s">
        <v>53</v>
      </c>
    </row>
    <row r="222" spans="1:16" x14ac:dyDescent="0.3">
      <c r="A222" s="2">
        <v>336</v>
      </c>
      <c r="B222" s="3">
        <v>42909</v>
      </c>
      <c r="C222" s="4" t="s">
        <v>16</v>
      </c>
      <c r="D222" s="4" t="s">
        <v>40</v>
      </c>
      <c r="E222" s="4" t="s">
        <v>27</v>
      </c>
      <c r="F222" s="2">
        <v>22</v>
      </c>
      <c r="G222" s="5">
        <v>18859</v>
      </c>
      <c r="H222" s="2">
        <v>9</v>
      </c>
      <c r="I222" s="2">
        <v>3</v>
      </c>
      <c r="J222" s="4" t="s">
        <v>35</v>
      </c>
      <c r="K222" s="4" t="s">
        <v>20</v>
      </c>
      <c r="L222" s="4" t="s">
        <v>39</v>
      </c>
      <c r="M222" s="5">
        <v>226308</v>
      </c>
      <c r="N222" s="4" t="s">
        <v>32</v>
      </c>
      <c r="O222" s="4" t="s">
        <v>23</v>
      </c>
      <c r="P222" s="4" t="s">
        <v>53</v>
      </c>
    </row>
    <row r="223" spans="1:16" x14ac:dyDescent="0.3">
      <c r="A223" s="2">
        <v>339</v>
      </c>
      <c r="B223" s="3">
        <v>42521</v>
      </c>
      <c r="C223" s="4" t="s">
        <v>16</v>
      </c>
      <c r="D223" s="4" t="s">
        <v>40</v>
      </c>
      <c r="E223" s="4" t="s">
        <v>18</v>
      </c>
      <c r="F223" s="2">
        <v>38</v>
      </c>
      <c r="G223" s="5">
        <v>19094</v>
      </c>
      <c r="H223" s="2">
        <v>12</v>
      </c>
      <c r="I223" s="2">
        <v>3</v>
      </c>
      <c r="J223" s="4" t="s">
        <v>35</v>
      </c>
      <c r="K223" s="4" t="s">
        <v>36</v>
      </c>
      <c r="L223" s="4" t="s">
        <v>39</v>
      </c>
      <c r="M223" s="5">
        <v>229128</v>
      </c>
      <c r="N223" s="4" t="s">
        <v>22</v>
      </c>
      <c r="O223" s="4" t="s">
        <v>23</v>
      </c>
      <c r="P223" s="4" t="s">
        <v>53</v>
      </c>
    </row>
    <row r="224" spans="1:16" x14ac:dyDescent="0.3">
      <c r="A224" s="2">
        <v>347</v>
      </c>
      <c r="B224" s="3">
        <v>43464</v>
      </c>
      <c r="C224" s="4" t="s">
        <v>16</v>
      </c>
      <c r="D224" s="4" t="s">
        <v>17</v>
      </c>
      <c r="E224" s="4" t="s">
        <v>18</v>
      </c>
      <c r="F224" s="2">
        <v>24</v>
      </c>
      <c r="G224" s="5">
        <v>16436</v>
      </c>
      <c r="H224" s="2">
        <v>15</v>
      </c>
      <c r="I224" s="2">
        <v>3</v>
      </c>
      <c r="J224" s="4" t="s">
        <v>35</v>
      </c>
      <c r="K224" s="4" t="s">
        <v>20</v>
      </c>
      <c r="L224" s="4" t="s">
        <v>31</v>
      </c>
      <c r="M224" s="5">
        <v>197232</v>
      </c>
      <c r="N224" s="4" t="s">
        <v>32</v>
      </c>
      <c r="O224" s="4" t="s">
        <v>23</v>
      </c>
      <c r="P224" s="4" t="s">
        <v>53</v>
      </c>
    </row>
    <row r="225" spans="1:16" x14ac:dyDescent="0.3">
      <c r="A225" s="2">
        <v>392</v>
      </c>
      <c r="B225" s="3">
        <v>41077</v>
      </c>
      <c r="C225" s="4" t="s">
        <v>25</v>
      </c>
      <c r="D225" s="4" t="s">
        <v>26</v>
      </c>
      <c r="E225" s="4" t="s">
        <v>27</v>
      </c>
      <c r="F225" s="2">
        <v>37</v>
      </c>
      <c r="G225" s="5">
        <v>17397</v>
      </c>
      <c r="H225" s="2">
        <v>12</v>
      </c>
      <c r="I225" s="2">
        <v>3</v>
      </c>
      <c r="J225" s="4" t="s">
        <v>35</v>
      </c>
      <c r="K225" s="4" t="s">
        <v>36</v>
      </c>
      <c r="L225" s="4" t="s">
        <v>31</v>
      </c>
      <c r="M225" s="5">
        <v>208764</v>
      </c>
      <c r="N225" s="4" t="s">
        <v>22</v>
      </c>
      <c r="O225" s="4" t="s">
        <v>23</v>
      </c>
      <c r="P225" s="4" t="s">
        <v>53</v>
      </c>
    </row>
    <row r="226" spans="1:16" x14ac:dyDescent="0.3">
      <c r="A226" s="2">
        <v>426</v>
      </c>
      <c r="B226" s="3">
        <v>44670</v>
      </c>
      <c r="C226" s="4" t="s">
        <v>46</v>
      </c>
      <c r="D226" s="4" t="s">
        <v>51</v>
      </c>
      <c r="E226" s="4" t="s">
        <v>27</v>
      </c>
      <c r="F226" s="2">
        <v>56</v>
      </c>
      <c r="G226" s="5">
        <v>8828</v>
      </c>
      <c r="H226" s="2">
        <v>12</v>
      </c>
      <c r="I226" s="2">
        <v>3</v>
      </c>
      <c r="J226" s="4" t="s">
        <v>19</v>
      </c>
      <c r="K226" s="4" t="s">
        <v>20</v>
      </c>
      <c r="L226" s="4" t="s">
        <v>39</v>
      </c>
      <c r="M226" s="5">
        <v>105936</v>
      </c>
      <c r="N226" s="4" t="s">
        <v>29</v>
      </c>
      <c r="O226" s="4" t="s">
        <v>23</v>
      </c>
      <c r="P226" s="4" t="s">
        <v>53</v>
      </c>
    </row>
    <row r="227" spans="1:16" x14ac:dyDescent="0.3">
      <c r="A227" s="2">
        <v>452</v>
      </c>
      <c r="B227" s="3">
        <v>42762</v>
      </c>
      <c r="C227" s="4" t="s">
        <v>44</v>
      </c>
      <c r="D227" s="4" t="s">
        <v>50</v>
      </c>
      <c r="E227" s="4" t="s">
        <v>27</v>
      </c>
      <c r="F227" s="2">
        <v>39</v>
      </c>
      <c r="G227" s="5">
        <v>19926</v>
      </c>
      <c r="H227" s="2">
        <v>12</v>
      </c>
      <c r="I227" s="2">
        <v>3</v>
      </c>
      <c r="J227" s="4" t="s">
        <v>19</v>
      </c>
      <c r="K227" s="4" t="s">
        <v>20</v>
      </c>
      <c r="L227" s="4" t="s">
        <v>31</v>
      </c>
      <c r="M227" s="5">
        <v>239112</v>
      </c>
      <c r="N227" s="4" t="s">
        <v>22</v>
      </c>
      <c r="O227" s="4" t="s">
        <v>23</v>
      </c>
      <c r="P227" s="4" t="s">
        <v>53</v>
      </c>
    </row>
    <row r="228" spans="1:16" x14ac:dyDescent="0.3">
      <c r="A228" s="2">
        <v>493</v>
      </c>
      <c r="B228" s="3">
        <v>41975</v>
      </c>
      <c r="C228" s="4" t="s">
        <v>33</v>
      </c>
      <c r="D228" s="4" t="s">
        <v>49</v>
      </c>
      <c r="E228" s="4" t="s">
        <v>27</v>
      </c>
      <c r="F228" s="2">
        <v>51</v>
      </c>
      <c r="G228" s="5">
        <v>8623</v>
      </c>
      <c r="H228" s="2">
        <v>8</v>
      </c>
      <c r="I228" s="2">
        <v>3</v>
      </c>
      <c r="J228" s="4" t="s">
        <v>35</v>
      </c>
      <c r="K228" s="4" t="s">
        <v>20</v>
      </c>
      <c r="L228" s="4" t="s">
        <v>39</v>
      </c>
      <c r="M228" s="5">
        <v>103476</v>
      </c>
      <c r="N228" s="4" t="s">
        <v>29</v>
      </c>
      <c r="O228" s="4" t="s">
        <v>23</v>
      </c>
      <c r="P228" s="4" t="s">
        <v>53</v>
      </c>
    </row>
    <row r="229" spans="1:16" x14ac:dyDescent="0.3">
      <c r="A229" s="2">
        <v>495</v>
      </c>
      <c r="B229" s="3">
        <v>43227</v>
      </c>
      <c r="C229" s="4" t="s">
        <v>33</v>
      </c>
      <c r="D229" s="4" t="s">
        <v>34</v>
      </c>
      <c r="E229" s="4" t="s">
        <v>18</v>
      </c>
      <c r="F229" s="2">
        <v>31</v>
      </c>
      <c r="G229" s="5">
        <v>12263</v>
      </c>
      <c r="H229" s="2">
        <v>8</v>
      </c>
      <c r="I229" s="2">
        <v>3</v>
      </c>
      <c r="J229" s="4" t="s">
        <v>35</v>
      </c>
      <c r="K229" s="4" t="s">
        <v>20</v>
      </c>
      <c r="L229" s="4" t="s">
        <v>39</v>
      </c>
      <c r="M229" s="5">
        <v>147156</v>
      </c>
      <c r="N229" s="4" t="s">
        <v>22</v>
      </c>
      <c r="O229" s="4" t="s">
        <v>23</v>
      </c>
      <c r="P229" s="4" t="s">
        <v>53</v>
      </c>
    </row>
    <row r="230" spans="1:16" x14ac:dyDescent="0.3">
      <c r="A230" s="2">
        <v>1</v>
      </c>
      <c r="B230" s="3">
        <v>42198</v>
      </c>
      <c r="C230" s="4" t="s">
        <v>33</v>
      </c>
      <c r="D230" s="4" t="s">
        <v>34</v>
      </c>
      <c r="E230" s="4" t="s">
        <v>18</v>
      </c>
      <c r="F230" s="2">
        <v>22</v>
      </c>
      <c r="G230" s="5">
        <v>16057</v>
      </c>
      <c r="H230" s="2">
        <v>7</v>
      </c>
      <c r="I230" s="2">
        <v>1</v>
      </c>
      <c r="J230" s="4" t="s">
        <v>35</v>
      </c>
      <c r="K230" s="4" t="s">
        <v>20</v>
      </c>
      <c r="L230" s="4" t="s">
        <v>31</v>
      </c>
      <c r="M230" s="5">
        <v>192684</v>
      </c>
      <c r="N230" s="4" t="s">
        <v>32</v>
      </c>
      <c r="O230" s="4" t="s">
        <v>54</v>
      </c>
      <c r="P230" s="4" t="s">
        <v>24</v>
      </c>
    </row>
    <row r="231" spans="1:16" x14ac:dyDescent="0.3">
      <c r="A231" s="2">
        <v>3</v>
      </c>
      <c r="B231" s="3">
        <v>41974</v>
      </c>
      <c r="C231" s="4" t="s">
        <v>25</v>
      </c>
      <c r="D231" s="4" t="s">
        <v>26</v>
      </c>
      <c r="E231" s="4" t="s">
        <v>27</v>
      </c>
      <c r="F231" s="2">
        <v>23</v>
      </c>
      <c r="G231" s="5">
        <v>8731</v>
      </c>
      <c r="H231" s="2">
        <v>4</v>
      </c>
      <c r="I231" s="2">
        <v>4</v>
      </c>
      <c r="J231" s="4" t="s">
        <v>35</v>
      </c>
      <c r="K231" s="4" t="s">
        <v>20</v>
      </c>
      <c r="L231" s="4" t="s">
        <v>43</v>
      </c>
      <c r="M231" s="5">
        <v>104772</v>
      </c>
      <c r="N231" s="4" t="s">
        <v>32</v>
      </c>
      <c r="O231" s="4" t="s">
        <v>54</v>
      </c>
      <c r="P231" s="4" t="s">
        <v>52</v>
      </c>
    </row>
    <row r="232" spans="1:16" x14ac:dyDescent="0.3">
      <c r="A232" s="2">
        <v>4</v>
      </c>
      <c r="B232" s="3">
        <v>43340</v>
      </c>
      <c r="C232" s="4" t="s">
        <v>16</v>
      </c>
      <c r="D232" s="4" t="s">
        <v>40</v>
      </c>
      <c r="E232" s="4" t="s">
        <v>27</v>
      </c>
      <c r="F232" s="2">
        <v>26</v>
      </c>
      <c r="G232" s="5">
        <v>11380</v>
      </c>
      <c r="H232" s="2">
        <v>5</v>
      </c>
      <c r="I232" s="2">
        <v>2</v>
      </c>
      <c r="J232" s="4" t="s">
        <v>35</v>
      </c>
      <c r="K232" s="4" t="s">
        <v>28</v>
      </c>
      <c r="L232" s="4" t="s">
        <v>31</v>
      </c>
      <c r="M232" s="5">
        <v>136560</v>
      </c>
      <c r="N232" s="4" t="s">
        <v>32</v>
      </c>
      <c r="O232" s="4" t="s">
        <v>54</v>
      </c>
      <c r="P232" s="4" t="s">
        <v>24</v>
      </c>
    </row>
    <row r="233" spans="1:16" x14ac:dyDescent="0.3">
      <c r="A233" s="2">
        <v>6</v>
      </c>
      <c r="B233" s="3">
        <v>44548</v>
      </c>
      <c r="C233" s="4" t="s">
        <v>37</v>
      </c>
      <c r="D233" s="4" t="s">
        <v>41</v>
      </c>
      <c r="E233" s="4" t="s">
        <v>27</v>
      </c>
      <c r="F233" s="2">
        <v>54</v>
      </c>
      <c r="G233" s="5">
        <v>12162</v>
      </c>
      <c r="H233" s="2">
        <v>4</v>
      </c>
      <c r="I233" s="2">
        <v>1</v>
      </c>
      <c r="J233" s="4" t="s">
        <v>19</v>
      </c>
      <c r="K233" s="4" t="s">
        <v>36</v>
      </c>
      <c r="L233" s="4" t="s">
        <v>31</v>
      </c>
      <c r="M233" s="5">
        <v>145944</v>
      </c>
      <c r="N233" s="4" t="s">
        <v>29</v>
      </c>
      <c r="O233" s="4" t="s">
        <v>54</v>
      </c>
      <c r="P233" s="4" t="s">
        <v>24</v>
      </c>
    </row>
    <row r="234" spans="1:16" x14ac:dyDescent="0.3">
      <c r="A234" s="2">
        <v>13</v>
      </c>
      <c r="B234" s="3">
        <v>43330</v>
      </c>
      <c r="C234" s="4" t="s">
        <v>16</v>
      </c>
      <c r="D234" s="4" t="s">
        <v>40</v>
      </c>
      <c r="E234" s="4" t="s">
        <v>18</v>
      </c>
      <c r="F234" s="2">
        <v>42</v>
      </c>
      <c r="G234" s="5">
        <v>12305</v>
      </c>
      <c r="H234" s="2">
        <v>3</v>
      </c>
      <c r="I234" s="2">
        <v>4</v>
      </c>
      <c r="J234" s="4" t="s">
        <v>35</v>
      </c>
      <c r="K234" s="4" t="s">
        <v>36</v>
      </c>
      <c r="L234" s="4" t="s">
        <v>43</v>
      </c>
      <c r="M234" s="5">
        <v>147660</v>
      </c>
      <c r="N234" s="4" t="s">
        <v>22</v>
      </c>
      <c r="O234" s="4" t="s">
        <v>54</v>
      </c>
      <c r="P234" s="4" t="s">
        <v>52</v>
      </c>
    </row>
    <row r="235" spans="1:16" x14ac:dyDescent="0.3">
      <c r="A235" s="2">
        <v>18</v>
      </c>
      <c r="B235" s="3">
        <v>44236</v>
      </c>
      <c r="C235" s="4" t="s">
        <v>37</v>
      </c>
      <c r="D235" s="4" t="s">
        <v>38</v>
      </c>
      <c r="E235" s="4" t="s">
        <v>27</v>
      </c>
      <c r="F235" s="2">
        <v>37</v>
      </c>
      <c r="G235" s="5">
        <v>12562</v>
      </c>
      <c r="H235" s="2">
        <v>5</v>
      </c>
      <c r="I235" s="2">
        <v>4</v>
      </c>
      <c r="J235" s="4" t="s">
        <v>19</v>
      </c>
      <c r="K235" s="4" t="s">
        <v>20</v>
      </c>
      <c r="L235" s="4" t="s">
        <v>42</v>
      </c>
      <c r="M235" s="5">
        <v>150744</v>
      </c>
      <c r="N235" s="4" t="s">
        <v>22</v>
      </c>
      <c r="O235" s="4" t="s">
        <v>54</v>
      </c>
      <c r="P235" s="4" t="s">
        <v>52</v>
      </c>
    </row>
    <row r="236" spans="1:16" x14ac:dyDescent="0.3">
      <c r="A236" s="2">
        <v>20</v>
      </c>
      <c r="B236" s="3">
        <v>40757</v>
      </c>
      <c r="C236" s="4" t="s">
        <v>16</v>
      </c>
      <c r="D236" s="4" t="s">
        <v>17</v>
      </c>
      <c r="E236" s="4" t="s">
        <v>18</v>
      </c>
      <c r="F236" s="2">
        <v>41</v>
      </c>
      <c r="G236" s="5">
        <v>9797</v>
      </c>
      <c r="H236" s="2">
        <v>3</v>
      </c>
      <c r="I236" s="2">
        <v>4</v>
      </c>
      <c r="J236" s="4" t="s">
        <v>35</v>
      </c>
      <c r="K236" s="4" t="s">
        <v>20</v>
      </c>
      <c r="L236" s="4" t="s">
        <v>42</v>
      </c>
      <c r="M236" s="5">
        <v>117564</v>
      </c>
      <c r="N236" s="4" t="s">
        <v>22</v>
      </c>
      <c r="O236" s="4" t="s">
        <v>54</v>
      </c>
      <c r="P236" s="4" t="s">
        <v>52</v>
      </c>
    </row>
    <row r="237" spans="1:16" x14ac:dyDescent="0.3">
      <c r="A237" s="2">
        <v>22</v>
      </c>
      <c r="B237" s="3">
        <v>44016</v>
      </c>
      <c r="C237" s="4" t="s">
        <v>16</v>
      </c>
      <c r="D237" s="4" t="s">
        <v>17</v>
      </c>
      <c r="E237" s="4" t="s">
        <v>27</v>
      </c>
      <c r="F237" s="2">
        <v>44</v>
      </c>
      <c r="G237" s="5">
        <v>9208</v>
      </c>
      <c r="H237" s="2">
        <v>5</v>
      </c>
      <c r="I237" s="2">
        <v>5</v>
      </c>
      <c r="J237" s="4" t="s">
        <v>19</v>
      </c>
      <c r="K237" s="4" t="s">
        <v>20</v>
      </c>
      <c r="L237" s="4" t="s">
        <v>21</v>
      </c>
      <c r="M237" s="5">
        <v>110496</v>
      </c>
      <c r="N237" s="4" t="s">
        <v>22</v>
      </c>
      <c r="O237" s="4" t="s">
        <v>54</v>
      </c>
      <c r="P237" s="4" t="s">
        <v>52</v>
      </c>
    </row>
    <row r="238" spans="1:16" x14ac:dyDescent="0.3">
      <c r="A238" s="2">
        <v>27</v>
      </c>
      <c r="B238" s="3">
        <v>44154</v>
      </c>
      <c r="C238" s="4" t="s">
        <v>25</v>
      </c>
      <c r="D238" s="4" t="s">
        <v>26</v>
      </c>
      <c r="E238" s="4" t="s">
        <v>27</v>
      </c>
      <c r="F238" s="2">
        <v>36</v>
      </c>
      <c r="G238" s="5">
        <v>10809</v>
      </c>
      <c r="H238" s="2">
        <v>4</v>
      </c>
      <c r="I238" s="2">
        <v>4</v>
      </c>
      <c r="J238" s="4" t="s">
        <v>19</v>
      </c>
      <c r="K238" s="4" t="s">
        <v>20</v>
      </c>
      <c r="L238" s="4" t="s">
        <v>42</v>
      </c>
      <c r="M238" s="5">
        <v>129708</v>
      </c>
      <c r="N238" s="4" t="s">
        <v>22</v>
      </c>
      <c r="O238" s="4" t="s">
        <v>54</v>
      </c>
      <c r="P238" s="4" t="s">
        <v>52</v>
      </c>
    </row>
    <row r="239" spans="1:16" x14ac:dyDescent="0.3">
      <c r="A239" s="2">
        <v>31</v>
      </c>
      <c r="B239" s="3">
        <v>40875</v>
      </c>
      <c r="C239" s="4" t="s">
        <v>44</v>
      </c>
      <c r="D239" s="4" t="s">
        <v>50</v>
      </c>
      <c r="E239" s="4" t="s">
        <v>18</v>
      </c>
      <c r="F239" s="2">
        <v>37</v>
      </c>
      <c r="G239" s="5">
        <v>13888</v>
      </c>
      <c r="H239" s="2">
        <v>7</v>
      </c>
      <c r="I239" s="2">
        <v>3</v>
      </c>
      <c r="J239" s="4" t="s">
        <v>19</v>
      </c>
      <c r="K239" s="4" t="s">
        <v>36</v>
      </c>
      <c r="L239" s="4" t="s">
        <v>42</v>
      </c>
      <c r="M239" s="5">
        <v>166656</v>
      </c>
      <c r="N239" s="4" t="s">
        <v>22</v>
      </c>
      <c r="O239" s="4" t="s">
        <v>54</v>
      </c>
      <c r="P239" s="4" t="s">
        <v>53</v>
      </c>
    </row>
    <row r="240" spans="1:16" x14ac:dyDescent="0.3">
      <c r="A240" s="2">
        <v>34</v>
      </c>
      <c r="B240" s="3">
        <v>44531</v>
      </c>
      <c r="C240" s="4" t="s">
        <v>46</v>
      </c>
      <c r="D240" s="4" t="s">
        <v>47</v>
      </c>
      <c r="E240" s="4" t="s">
        <v>18</v>
      </c>
      <c r="F240" s="2">
        <v>46</v>
      </c>
      <c r="G240" s="5">
        <v>17399</v>
      </c>
      <c r="H240" s="2">
        <v>6</v>
      </c>
      <c r="I240" s="2">
        <v>5</v>
      </c>
      <c r="J240" s="4" t="s">
        <v>35</v>
      </c>
      <c r="K240" s="4" t="s">
        <v>20</v>
      </c>
      <c r="L240" s="4" t="s">
        <v>43</v>
      </c>
      <c r="M240" s="5">
        <v>208788</v>
      </c>
      <c r="N240" s="4" t="s">
        <v>29</v>
      </c>
      <c r="O240" s="4" t="s">
        <v>54</v>
      </c>
      <c r="P240" s="4" t="s">
        <v>52</v>
      </c>
    </row>
    <row r="241" spans="1:16" x14ac:dyDescent="0.3">
      <c r="A241" s="2">
        <v>35</v>
      </c>
      <c r="B241" s="3">
        <v>41726</v>
      </c>
      <c r="C241" s="4" t="s">
        <v>16</v>
      </c>
      <c r="D241" s="4" t="s">
        <v>17</v>
      </c>
      <c r="E241" s="4" t="s">
        <v>27</v>
      </c>
      <c r="F241" s="2">
        <v>26</v>
      </c>
      <c r="G241" s="5">
        <v>13262</v>
      </c>
      <c r="H241" s="2">
        <v>3</v>
      </c>
      <c r="I241" s="2">
        <v>4</v>
      </c>
      <c r="J241" s="4" t="s">
        <v>19</v>
      </c>
      <c r="K241" s="4" t="s">
        <v>36</v>
      </c>
      <c r="L241" s="4" t="s">
        <v>31</v>
      </c>
      <c r="M241" s="5">
        <v>159144</v>
      </c>
      <c r="N241" s="4" t="s">
        <v>32</v>
      </c>
      <c r="O241" s="4" t="s">
        <v>54</v>
      </c>
      <c r="P241" s="4" t="s">
        <v>52</v>
      </c>
    </row>
    <row r="242" spans="1:16" x14ac:dyDescent="0.3">
      <c r="A242" s="2">
        <v>39</v>
      </c>
      <c r="B242" s="3">
        <v>42362</v>
      </c>
      <c r="C242" s="4" t="s">
        <v>37</v>
      </c>
      <c r="D242" s="4" t="s">
        <v>41</v>
      </c>
      <c r="E242" s="4" t="s">
        <v>27</v>
      </c>
      <c r="F242" s="2">
        <v>37</v>
      </c>
      <c r="G242" s="5">
        <v>8738</v>
      </c>
      <c r="H242" s="2">
        <v>4</v>
      </c>
      <c r="I242" s="2">
        <v>5</v>
      </c>
      <c r="J242" s="4" t="s">
        <v>19</v>
      </c>
      <c r="K242" s="4" t="s">
        <v>28</v>
      </c>
      <c r="L242" s="4" t="s">
        <v>21</v>
      </c>
      <c r="M242" s="5">
        <v>104856</v>
      </c>
      <c r="N242" s="4" t="s">
        <v>22</v>
      </c>
      <c r="O242" s="4" t="s">
        <v>54</v>
      </c>
      <c r="P242" s="4" t="s">
        <v>52</v>
      </c>
    </row>
    <row r="243" spans="1:16" x14ac:dyDescent="0.3">
      <c r="A243" s="2">
        <v>40</v>
      </c>
      <c r="B243" s="3">
        <v>44252</v>
      </c>
      <c r="C243" s="4" t="s">
        <v>46</v>
      </c>
      <c r="D243" s="4" t="s">
        <v>48</v>
      </c>
      <c r="E243" s="4" t="s">
        <v>18</v>
      </c>
      <c r="F243" s="2">
        <v>58</v>
      </c>
      <c r="G243" s="5">
        <v>5742</v>
      </c>
      <c r="H243" s="2">
        <v>6</v>
      </c>
      <c r="I243" s="2">
        <v>5</v>
      </c>
      <c r="J243" s="4" t="s">
        <v>35</v>
      </c>
      <c r="K243" s="4" t="s">
        <v>20</v>
      </c>
      <c r="L243" s="4" t="s">
        <v>31</v>
      </c>
      <c r="M243" s="5">
        <v>68904</v>
      </c>
      <c r="N243" s="4" t="s">
        <v>29</v>
      </c>
      <c r="O243" s="4" t="s">
        <v>54</v>
      </c>
      <c r="P243" s="4" t="s">
        <v>52</v>
      </c>
    </row>
    <row r="244" spans="1:16" x14ac:dyDescent="0.3">
      <c r="A244" s="2">
        <v>41</v>
      </c>
      <c r="B244" s="3">
        <v>43587</v>
      </c>
      <c r="C244" s="4" t="s">
        <v>44</v>
      </c>
      <c r="D244" s="4" t="s">
        <v>50</v>
      </c>
      <c r="E244" s="4" t="s">
        <v>18</v>
      </c>
      <c r="F244" s="2">
        <v>27</v>
      </c>
      <c r="G244" s="5">
        <v>15101</v>
      </c>
      <c r="H244" s="2">
        <v>5</v>
      </c>
      <c r="I244" s="2">
        <v>2</v>
      </c>
      <c r="J244" s="4" t="s">
        <v>19</v>
      </c>
      <c r="K244" s="4" t="s">
        <v>28</v>
      </c>
      <c r="L244" s="4" t="s">
        <v>21</v>
      </c>
      <c r="M244" s="5">
        <v>181212</v>
      </c>
      <c r="N244" s="4" t="s">
        <v>32</v>
      </c>
      <c r="O244" s="4" t="s">
        <v>54</v>
      </c>
      <c r="P244" s="4" t="s">
        <v>24</v>
      </c>
    </row>
    <row r="245" spans="1:16" x14ac:dyDescent="0.3">
      <c r="A245" s="2">
        <v>47</v>
      </c>
      <c r="B245" s="3">
        <v>42417</v>
      </c>
      <c r="C245" s="4" t="s">
        <v>46</v>
      </c>
      <c r="D245" s="4" t="s">
        <v>51</v>
      </c>
      <c r="E245" s="4" t="s">
        <v>18</v>
      </c>
      <c r="F245" s="2">
        <v>23</v>
      </c>
      <c r="G245" s="5">
        <v>16048</v>
      </c>
      <c r="H245" s="2">
        <v>6</v>
      </c>
      <c r="I245" s="2">
        <v>4</v>
      </c>
      <c r="J245" s="4" t="s">
        <v>35</v>
      </c>
      <c r="K245" s="4" t="s">
        <v>20</v>
      </c>
      <c r="L245" s="4" t="s">
        <v>39</v>
      </c>
      <c r="M245" s="5">
        <v>192576</v>
      </c>
      <c r="N245" s="4" t="s">
        <v>32</v>
      </c>
      <c r="O245" s="4" t="s">
        <v>54</v>
      </c>
      <c r="P245" s="4" t="s">
        <v>52</v>
      </c>
    </row>
    <row r="246" spans="1:16" x14ac:dyDescent="0.3">
      <c r="A246" s="2">
        <v>48</v>
      </c>
      <c r="B246" s="3">
        <v>42611</v>
      </c>
      <c r="C246" s="4" t="s">
        <v>33</v>
      </c>
      <c r="D246" s="4" t="s">
        <v>34</v>
      </c>
      <c r="E246" s="4" t="s">
        <v>18</v>
      </c>
      <c r="F246" s="2">
        <v>50</v>
      </c>
      <c r="G246" s="5">
        <v>12469</v>
      </c>
      <c r="H246" s="2">
        <v>4</v>
      </c>
      <c r="I246" s="2">
        <v>3</v>
      </c>
      <c r="J246" s="4" t="s">
        <v>19</v>
      </c>
      <c r="K246" s="4" t="s">
        <v>28</v>
      </c>
      <c r="L246" s="4" t="s">
        <v>39</v>
      </c>
      <c r="M246" s="5">
        <v>149628</v>
      </c>
      <c r="N246" s="4" t="s">
        <v>29</v>
      </c>
      <c r="O246" s="4" t="s">
        <v>54</v>
      </c>
      <c r="P246" s="4" t="s">
        <v>53</v>
      </c>
    </row>
    <row r="247" spans="1:16" x14ac:dyDescent="0.3">
      <c r="A247" s="2">
        <v>51</v>
      </c>
      <c r="B247" s="3">
        <v>44401</v>
      </c>
      <c r="C247" s="4" t="s">
        <v>33</v>
      </c>
      <c r="D247" s="4" t="s">
        <v>34</v>
      </c>
      <c r="E247" s="4" t="s">
        <v>27</v>
      </c>
      <c r="F247" s="2">
        <v>28</v>
      </c>
      <c r="G247" s="5">
        <v>19918</v>
      </c>
      <c r="H247" s="2">
        <v>3</v>
      </c>
      <c r="I247" s="2">
        <v>1</v>
      </c>
      <c r="J247" s="4" t="s">
        <v>19</v>
      </c>
      <c r="K247" s="4" t="s">
        <v>28</v>
      </c>
      <c r="L247" s="4" t="s">
        <v>39</v>
      </c>
      <c r="M247" s="5">
        <v>239016</v>
      </c>
      <c r="N247" s="4" t="s">
        <v>32</v>
      </c>
      <c r="O247" s="4" t="s">
        <v>54</v>
      </c>
      <c r="P247" s="4" t="s">
        <v>24</v>
      </c>
    </row>
    <row r="248" spans="1:16" x14ac:dyDescent="0.3">
      <c r="A248" s="2">
        <v>53</v>
      </c>
      <c r="B248" s="3">
        <v>44801</v>
      </c>
      <c r="C248" s="4" t="s">
        <v>46</v>
      </c>
      <c r="D248" s="4" t="s">
        <v>47</v>
      </c>
      <c r="E248" s="4" t="s">
        <v>27</v>
      </c>
      <c r="F248" s="2">
        <v>45</v>
      </c>
      <c r="G248" s="5">
        <v>12063</v>
      </c>
      <c r="H248" s="2">
        <v>7</v>
      </c>
      <c r="I248" s="2">
        <v>1</v>
      </c>
      <c r="J248" s="4" t="s">
        <v>19</v>
      </c>
      <c r="K248" s="4" t="s">
        <v>28</v>
      </c>
      <c r="L248" s="4" t="s">
        <v>42</v>
      </c>
      <c r="M248" s="5">
        <v>144756</v>
      </c>
      <c r="N248" s="4" t="s">
        <v>22</v>
      </c>
      <c r="O248" s="4" t="s">
        <v>54</v>
      </c>
      <c r="P248" s="4" t="s">
        <v>24</v>
      </c>
    </row>
    <row r="249" spans="1:16" x14ac:dyDescent="0.3">
      <c r="A249" s="2">
        <v>54</v>
      </c>
      <c r="B249" s="3">
        <v>42727</v>
      </c>
      <c r="C249" s="4" t="s">
        <v>46</v>
      </c>
      <c r="D249" s="4" t="s">
        <v>51</v>
      </c>
      <c r="E249" s="4" t="s">
        <v>18</v>
      </c>
      <c r="F249" s="2">
        <v>26</v>
      </c>
      <c r="G249" s="5">
        <v>16096</v>
      </c>
      <c r="H249" s="2">
        <v>4</v>
      </c>
      <c r="I249" s="2">
        <v>2</v>
      </c>
      <c r="J249" s="4" t="s">
        <v>35</v>
      </c>
      <c r="K249" s="4" t="s">
        <v>36</v>
      </c>
      <c r="L249" s="4" t="s">
        <v>43</v>
      </c>
      <c r="M249" s="5">
        <v>193152</v>
      </c>
      <c r="N249" s="4" t="s">
        <v>32</v>
      </c>
      <c r="O249" s="4" t="s">
        <v>54</v>
      </c>
      <c r="P249" s="4" t="s">
        <v>24</v>
      </c>
    </row>
    <row r="250" spans="1:16" x14ac:dyDescent="0.3">
      <c r="A250" s="2">
        <v>57</v>
      </c>
      <c r="B250" s="3">
        <v>44510</v>
      </c>
      <c r="C250" s="4" t="s">
        <v>16</v>
      </c>
      <c r="D250" s="4" t="s">
        <v>40</v>
      </c>
      <c r="E250" s="4" t="s">
        <v>18</v>
      </c>
      <c r="F250" s="2">
        <v>25</v>
      </c>
      <c r="G250" s="5">
        <v>6016</v>
      </c>
      <c r="H250" s="2">
        <v>7</v>
      </c>
      <c r="I250" s="2">
        <v>3</v>
      </c>
      <c r="J250" s="4" t="s">
        <v>35</v>
      </c>
      <c r="K250" s="4" t="s">
        <v>20</v>
      </c>
      <c r="L250" s="4" t="s">
        <v>43</v>
      </c>
      <c r="M250" s="5">
        <v>72192</v>
      </c>
      <c r="N250" s="4" t="s">
        <v>32</v>
      </c>
      <c r="O250" s="4" t="s">
        <v>54</v>
      </c>
      <c r="P250" s="4" t="s">
        <v>53</v>
      </c>
    </row>
    <row r="251" spans="1:16" x14ac:dyDescent="0.3">
      <c r="A251" s="2">
        <v>60</v>
      </c>
      <c r="B251" s="3">
        <v>41096</v>
      </c>
      <c r="C251" s="4" t="s">
        <v>44</v>
      </c>
      <c r="D251" s="4" t="s">
        <v>45</v>
      </c>
      <c r="E251" s="4" t="s">
        <v>18</v>
      </c>
      <c r="F251" s="2">
        <v>55</v>
      </c>
      <c r="G251" s="5">
        <v>5291</v>
      </c>
      <c r="H251" s="2">
        <v>4</v>
      </c>
      <c r="I251" s="2">
        <v>5</v>
      </c>
      <c r="J251" s="4" t="s">
        <v>35</v>
      </c>
      <c r="K251" s="4" t="s">
        <v>20</v>
      </c>
      <c r="L251" s="4" t="s">
        <v>21</v>
      </c>
      <c r="M251" s="5">
        <v>63492</v>
      </c>
      <c r="N251" s="4" t="s">
        <v>29</v>
      </c>
      <c r="O251" s="4" t="s">
        <v>54</v>
      </c>
      <c r="P251" s="4" t="s">
        <v>52</v>
      </c>
    </row>
    <row r="252" spans="1:16" x14ac:dyDescent="0.3">
      <c r="A252" s="2">
        <v>61</v>
      </c>
      <c r="B252" s="3">
        <v>42749</v>
      </c>
      <c r="C252" s="4" t="s">
        <v>16</v>
      </c>
      <c r="D252" s="4" t="s">
        <v>40</v>
      </c>
      <c r="E252" s="4" t="s">
        <v>27</v>
      </c>
      <c r="F252" s="2">
        <v>25</v>
      </c>
      <c r="G252" s="5">
        <v>18870</v>
      </c>
      <c r="H252" s="2">
        <v>4</v>
      </c>
      <c r="I252" s="2">
        <v>3</v>
      </c>
      <c r="J252" s="4" t="s">
        <v>35</v>
      </c>
      <c r="K252" s="4" t="s">
        <v>36</v>
      </c>
      <c r="L252" s="4" t="s">
        <v>31</v>
      </c>
      <c r="M252" s="5">
        <v>226440</v>
      </c>
      <c r="N252" s="4" t="s">
        <v>32</v>
      </c>
      <c r="O252" s="4" t="s">
        <v>54</v>
      </c>
      <c r="P252" s="4" t="s">
        <v>53</v>
      </c>
    </row>
    <row r="253" spans="1:16" x14ac:dyDescent="0.3">
      <c r="A253" s="2">
        <v>63</v>
      </c>
      <c r="B253" s="3">
        <v>43519</v>
      </c>
      <c r="C253" s="4" t="s">
        <v>46</v>
      </c>
      <c r="D253" s="4" t="s">
        <v>48</v>
      </c>
      <c r="E253" s="4" t="s">
        <v>18</v>
      </c>
      <c r="F253" s="2">
        <v>34</v>
      </c>
      <c r="G253" s="5">
        <v>18683</v>
      </c>
      <c r="H253" s="2">
        <v>6</v>
      </c>
      <c r="I253" s="2">
        <v>5</v>
      </c>
      <c r="J253" s="4" t="s">
        <v>35</v>
      </c>
      <c r="K253" s="4" t="s">
        <v>28</v>
      </c>
      <c r="L253" s="4" t="s">
        <v>31</v>
      </c>
      <c r="M253" s="5">
        <v>224196</v>
      </c>
      <c r="N253" s="4" t="s">
        <v>22</v>
      </c>
      <c r="O253" s="4" t="s">
        <v>54</v>
      </c>
      <c r="P253" s="4" t="s">
        <v>52</v>
      </c>
    </row>
    <row r="254" spans="1:16" x14ac:dyDescent="0.3">
      <c r="A254" s="2">
        <v>64</v>
      </c>
      <c r="B254" s="3">
        <v>44161</v>
      </c>
      <c r="C254" s="4" t="s">
        <v>37</v>
      </c>
      <c r="D254" s="4" t="s">
        <v>41</v>
      </c>
      <c r="E254" s="4" t="s">
        <v>27</v>
      </c>
      <c r="F254" s="2">
        <v>37</v>
      </c>
      <c r="G254" s="5">
        <v>16402</v>
      </c>
      <c r="H254" s="2">
        <v>5</v>
      </c>
      <c r="I254" s="2">
        <v>4</v>
      </c>
      <c r="J254" s="4" t="s">
        <v>19</v>
      </c>
      <c r="K254" s="4" t="s">
        <v>28</v>
      </c>
      <c r="L254" s="4" t="s">
        <v>31</v>
      </c>
      <c r="M254" s="5">
        <v>196824</v>
      </c>
      <c r="N254" s="4" t="s">
        <v>22</v>
      </c>
      <c r="O254" s="4" t="s">
        <v>54</v>
      </c>
      <c r="P254" s="4" t="s">
        <v>52</v>
      </c>
    </row>
    <row r="255" spans="1:16" x14ac:dyDescent="0.3">
      <c r="A255" s="2">
        <v>67</v>
      </c>
      <c r="B255" s="3">
        <v>45091</v>
      </c>
      <c r="C255" s="4" t="s">
        <v>33</v>
      </c>
      <c r="D255" s="4" t="s">
        <v>49</v>
      </c>
      <c r="E255" s="4" t="s">
        <v>27</v>
      </c>
      <c r="F255" s="2">
        <v>32</v>
      </c>
      <c r="G255" s="5">
        <v>10689</v>
      </c>
      <c r="H255" s="2">
        <v>3</v>
      </c>
      <c r="I255" s="2">
        <v>2</v>
      </c>
      <c r="J255" s="4" t="s">
        <v>35</v>
      </c>
      <c r="K255" s="4" t="s">
        <v>36</v>
      </c>
      <c r="L255" s="4" t="s">
        <v>43</v>
      </c>
      <c r="M255" s="5">
        <v>128268</v>
      </c>
      <c r="N255" s="4" t="s">
        <v>22</v>
      </c>
      <c r="O255" s="4" t="s">
        <v>54</v>
      </c>
      <c r="P255" s="4" t="s">
        <v>24</v>
      </c>
    </row>
    <row r="256" spans="1:16" x14ac:dyDescent="0.3">
      <c r="A256" s="2">
        <v>69</v>
      </c>
      <c r="B256" s="3">
        <v>42130</v>
      </c>
      <c r="C256" s="4" t="s">
        <v>44</v>
      </c>
      <c r="D256" s="4" t="s">
        <v>45</v>
      </c>
      <c r="E256" s="4" t="s">
        <v>18</v>
      </c>
      <c r="F256" s="2">
        <v>47</v>
      </c>
      <c r="G256" s="5">
        <v>6396</v>
      </c>
      <c r="H256" s="2">
        <v>3</v>
      </c>
      <c r="I256" s="2">
        <v>4</v>
      </c>
      <c r="J256" s="4" t="s">
        <v>35</v>
      </c>
      <c r="K256" s="4" t="s">
        <v>20</v>
      </c>
      <c r="L256" s="4" t="s">
        <v>31</v>
      </c>
      <c r="M256" s="5">
        <v>76752</v>
      </c>
      <c r="N256" s="4" t="s">
        <v>29</v>
      </c>
      <c r="O256" s="4" t="s">
        <v>54</v>
      </c>
      <c r="P256" s="4" t="s">
        <v>52</v>
      </c>
    </row>
    <row r="257" spans="1:16" x14ac:dyDescent="0.3">
      <c r="A257" s="2">
        <v>70</v>
      </c>
      <c r="B257" s="3">
        <v>44657</v>
      </c>
      <c r="C257" s="4" t="s">
        <v>44</v>
      </c>
      <c r="D257" s="4" t="s">
        <v>50</v>
      </c>
      <c r="E257" s="4" t="s">
        <v>18</v>
      </c>
      <c r="F257" s="2">
        <v>33</v>
      </c>
      <c r="G257" s="5">
        <v>7268</v>
      </c>
      <c r="H257" s="2">
        <v>5</v>
      </c>
      <c r="I257" s="2">
        <v>1</v>
      </c>
      <c r="J257" s="4" t="s">
        <v>35</v>
      </c>
      <c r="K257" s="4" t="s">
        <v>36</v>
      </c>
      <c r="L257" s="4" t="s">
        <v>42</v>
      </c>
      <c r="M257" s="5">
        <v>87216</v>
      </c>
      <c r="N257" s="4" t="s">
        <v>22</v>
      </c>
      <c r="O257" s="4" t="s">
        <v>54</v>
      </c>
      <c r="P257" s="4" t="s">
        <v>24</v>
      </c>
    </row>
    <row r="258" spans="1:16" x14ac:dyDescent="0.3">
      <c r="A258" s="2">
        <v>75</v>
      </c>
      <c r="B258" s="3">
        <v>44437</v>
      </c>
      <c r="C258" s="4" t="s">
        <v>37</v>
      </c>
      <c r="D258" s="4" t="s">
        <v>38</v>
      </c>
      <c r="E258" s="4" t="s">
        <v>27</v>
      </c>
      <c r="F258" s="2">
        <v>47</v>
      </c>
      <c r="G258" s="5">
        <v>5086</v>
      </c>
      <c r="H258" s="2">
        <v>5</v>
      </c>
      <c r="I258" s="2">
        <v>2</v>
      </c>
      <c r="J258" s="4" t="s">
        <v>19</v>
      </c>
      <c r="K258" s="4" t="s">
        <v>28</v>
      </c>
      <c r="L258" s="4" t="s">
        <v>21</v>
      </c>
      <c r="M258" s="5">
        <v>61032</v>
      </c>
      <c r="N258" s="4" t="s">
        <v>29</v>
      </c>
      <c r="O258" s="4" t="s">
        <v>54</v>
      </c>
      <c r="P258" s="4" t="s">
        <v>24</v>
      </c>
    </row>
    <row r="259" spans="1:16" x14ac:dyDescent="0.3">
      <c r="A259" s="2">
        <v>78</v>
      </c>
      <c r="B259" s="3">
        <v>41730</v>
      </c>
      <c r="C259" s="4" t="s">
        <v>25</v>
      </c>
      <c r="D259" s="4" t="s">
        <v>26</v>
      </c>
      <c r="E259" s="4" t="s">
        <v>27</v>
      </c>
      <c r="F259" s="2">
        <v>23</v>
      </c>
      <c r="G259" s="5">
        <v>16916</v>
      </c>
      <c r="H259" s="2">
        <v>6</v>
      </c>
      <c r="I259" s="2">
        <v>2</v>
      </c>
      <c r="J259" s="4" t="s">
        <v>19</v>
      </c>
      <c r="K259" s="4" t="s">
        <v>28</v>
      </c>
      <c r="L259" s="4" t="s">
        <v>39</v>
      </c>
      <c r="M259" s="5">
        <v>202992</v>
      </c>
      <c r="N259" s="4" t="s">
        <v>32</v>
      </c>
      <c r="O259" s="4" t="s">
        <v>54</v>
      </c>
      <c r="P259" s="4" t="s">
        <v>24</v>
      </c>
    </row>
    <row r="260" spans="1:16" x14ac:dyDescent="0.3">
      <c r="A260" s="2">
        <v>79</v>
      </c>
      <c r="B260" s="3">
        <v>40689</v>
      </c>
      <c r="C260" s="4" t="s">
        <v>37</v>
      </c>
      <c r="D260" s="4" t="s">
        <v>38</v>
      </c>
      <c r="E260" s="4" t="s">
        <v>27</v>
      </c>
      <c r="F260" s="2">
        <v>46</v>
      </c>
      <c r="G260" s="5">
        <v>13953</v>
      </c>
      <c r="H260" s="2">
        <v>7</v>
      </c>
      <c r="I260" s="2">
        <v>4</v>
      </c>
      <c r="J260" s="4" t="s">
        <v>35</v>
      </c>
      <c r="K260" s="4" t="s">
        <v>36</v>
      </c>
      <c r="L260" s="4" t="s">
        <v>31</v>
      </c>
      <c r="M260" s="5">
        <v>167436</v>
      </c>
      <c r="N260" s="4" t="s">
        <v>29</v>
      </c>
      <c r="O260" s="4" t="s">
        <v>54</v>
      </c>
      <c r="P260" s="4" t="s">
        <v>52</v>
      </c>
    </row>
    <row r="261" spans="1:16" x14ac:dyDescent="0.3">
      <c r="A261" s="2">
        <v>80</v>
      </c>
      <c r="B261" s="3">
        <v>43684</v>
      </c>
      <c r="C261" s="4" t="s">
        <v>46</v>
      </c>
      <c r="D261" s="4" t="s">
        <v>48</v>
      </c>
      <c r="E261" s="4" t="s">
        <v>27</v>
      </c>
      <c r="F261" s="2">
        <v>36</v>
      </c>
      <c r="G261" s="5">
        <v>17768</v>
      </c>
      <c r="H261" s="2">
        <v>6</v>
      </c>
      <c r="I261" s="2">
        <v>2</v>
      </c>
      <c r="J261" s="4" t="s">
        <v>35</v>
      </c>
      <c r="K261" s="4" t="s">
        <v>28</v>
      </c>
      <c r="L261" s="4" t="s">
        <v>39</v>
      </c>
      <c r="M261" s="5">
        <v>213216</v>
      </c>
      <c r="N261" s="4" t="s">
        <v>22</v>
      </c>
      <c r="O261" s="4" t="s">
        <v>54</v>
      </c>
      <c r="P261" s="4" t="s">
        <v>24</v>
      </c>
    </row>
    <row r="262" spans="1:16" x14ac:dyDescent="0.3">
      <c r="A262" s="2">
        <v>86</v>
      </c>
      <c r="B262" s="3">
        <v>42282</v>
      </c>
      <c r="C262" s="4" t="s">
        <v>44</v>
      </c>
      <c r="D262" s="4" t="s">
        <v>45</v>
      </c>
      <c r="E262" s="4" t="s">
        <v>27</v>
      </c>
      <c r="F262" s="2">
        <v>49</v>
      </c>
      <c r="G262" s="5">
        <v>17447</v>
      </c>
      <c r="H262" s="2">
        <v>6</v>
      </c>
      <c r="I262" s="2">
        <v>1</v>
      </c>
      <c r="J262" s="4" t="s">
        <v>35</v>
      </c>
      <c r="K262" s="4" t="s">
        <v>20</v>
      </c>
      <c r="L262" s="4" t="s">
        <v>39</v>
      </c>
      <c r="M262" s="5">
        <v>209364</v>
      </c>
      <c r="N262" s="4" t="s">
        <v>29</v>
      </c>
      <c r="O262" s="4" t="s">
        <v>54</v>
      </c>
      <c r="P262" s="4" t="s">
        <v>24</v>
      </c>
    </row>
    <row r="263" spans="1:16" x14ac:dyDescent="0.3">
      <c r="A263" s="2">
        <v>89</v>
      </c>
      <c r="B263" s="3">
        <v>44796</v>
      </c>
      <c r="C263" s="4" t="s">
        <v>16</v>
      </c>
      <c r="D263" s="4" t="s">
        <v>17</v>
      </c>
      <c r="E263" s="4" t="s">
        <v>18</v>
      </c>
      <c r="F263" s="2">
        <v>44</v>
      </c>
      <c r="G263" s="5">
        <v>8106</v>
      </c>
      <c r="H263" s="2">
        <v>7</v>
      </c>
      <c r="I263" s="2">
        <v>3</v>
      </c>
      <c r="J263" s="4" t="s">
        <v>35</v>
      </c>
      <c r="K263" s="4" t="s">
        <v>36</v>
      </c>
      <c r="L263" s="4" t="s">
        <v>39</v>
      </c>
      <c r="M263" s="5">
        <v>97272</v>
      </c>
      <c r="N263" s="4" t="s">
        <v>22</v>
      </c>
      <c r="O263" s="4" t="s">
        <v>54</v>
      </c>
      <c r="P263" s="4" t="s">
        <v>53</v>
      </c>
    </row>
    <row r="264" spans="1:16" x14ac:dyDescent="0.3">
      <c r="A264" s="2">
        <v>90</v>
      </c>
      <c r="B264" s="3">
        <v>44082</v>
      </c>
      <c r="C264" s="4" t="s">
        <v>46</v>
      </c>
      <c r="D264" s="4" t="s">
        <v>48</v>
      </c>
      <c r="E264" s="4" t="s">
        <v>27</v>
      </c>
      <c r="F264" s="2">
        <v>43</v>
      </c>
      <c r="G264" s="5">
        <v>14979</v>
      </c>
      <c r="H264" s="2">
        <v>7</v>
      </c>
      <c r="I264" s="2">
        <v>1</v>
      </c>
      <c r="J264" s="4" t="s">
        <v>35</v>
      </c>
      <c r="K264" s="4" t="s">
        <v>20</v>
      </c>
      <c r="L264" s="4" t="s">
        <v>21</v>
      </c>
      <c r="M264" s="5">
        <v>179748</v>
      </c>
      <c r="N264" s="4" t="s">
        <v>22</v>
      </c>
      <c r="O264" s="4" t="s">
        <v>54</v>
      </c>
      <c r="P264" s="4" t="s">
        <v>24</v>
      </c>
    </row>
    <row r="265" spans="1:16" x14ac:dyDescent="0.3">
      <c r="A265" s="2">
        <v>91</v>
      </c>
      <c r="B265" s="3">
        <v>43565</v>
      </c>
      <c r="C265" s="4" t="s">
        <v>25</v>
      </c>
      <c r="D265" s="4" t="s">
        <v>30</v>
      </c>
      <c r="E265" s="4" t="s">
        <v>18</v>
      </c>
      <c r="F265" s="2">
        <v>35</v>
      </c>
      <c r="G265" s="5">
        <v>11823</v>
      </c>
      <c r="H265" s="2">
        <v>7</v>
      </c>
      <c r="I265" s="2">
        <v>5</v>
      </c>
      <c r="J265" s="4" t="s">
        <v>19</v>
      </c>
      <c r="K265" s="4" t="s">
        <v>28</v>
      </c>
      <c r="L265" s="4" t="s">
        <v>42</v>
      </c>
      <c r="M265" s="5">
        <v>141876</v>
      </c>
      <c r="N265" s="4" t="s">
        <v>22</v>
      </c>
      <c r="O265" s="4" t="s">
        <v>54</v>
      </c>
      <c r="P265" s="4" t="s">
        <v>52</v>
      </c>
    </row>
    <row r="266" spans="1:16" x14ac:dyDescent="0.3">
      <c r="A266" s="2">
        <v>94</v>
      </c>
      <c r="B266" s="3">
        <v>43921</v>
      </c>
      <c r="C266" s="4" t="s">
        <v>16</v>
      </c>
      <c r="D266" s="4" t="s">
        <v>17</v>
      </c>
      <c r="E266" s="4" t="s">
        <v>18</v>
      </c>
      <c r="F266" s="2">
        <v>60</v>
      </c>
      <c r="G266" s="5">
        <v>12069</v>
      </c>
      <c r="H266" s="2">
        <v>6</v>
      </c>
      <c r="I266" s="2">
        <v>1</v>
      </c>
      <c r="J266" s="4" t="s">
        <v>19</v>
      </c>
      <c r="K266" s="4" t="s">
        <v>28</v>
      </c>
      <c r="L266" s="4" t="s">
        <v>43</v>
      </c>
      <c r="M266" s="5">
        <v>144828</v>
      </c>
      <c r="N266" s="4" t="s">
        <v>29</v>
      </c>
      <c r="O266" s="4" t="s">
        <v>54</v>
      </c>
      <c r="P266" s="4" t="s">
        <v>24</v>
      </c>
    </row>
    <row r="267" spans="1:16" x14ac:dyDescent="0.3">
      <c r="A267" s="2">
        <v>100</v>
      </c>
      <c r="B267" s="3">
        <v>44393</v>
      </c>
      <c r="C267" s="4" t="s">
        <v>46</v>
      </c>
      <c r="D267" s="4" t="s">
        <v>51</v>
      </c>
      <c r="E267" s="4" t="s">
        <v>27</v>
      </c>
      <c r="F267" s="2">
        <v>35</v>
      </c>
      <c r="G267" s="5">
        <v>13671</v>
      </c>
      <c r="H267" s="2">
        <v>7</v>
      </c>
      <c r="I267" s="2">
        <v>2</v>
      </c>
      <c r="J267" s="4" t="s">
        <v>19</v>
      </c>
      <c r="K267" s="4" t="s">
        <v>28</v>
      </c>
      <c r="L267" s="4" t="s">
        <v>43</v>
      </c>
      <c r="M267" s="5">
        <v>164052</v>
      </c>
      <c r="N267" s="4" t="s">
        <v>22</v>
      </c>
      <c r="O267" s="4" t="s">
        <v>54</v>
      </c>
      <c r="P267" s="4" t="s">
        <v>24</v>
      </c>
    </row>
    <row r="268" spans="1:16" x14ac:dyDescent="0.3">
      <c r="A268" s="2">
        <v>101</v>
      </c>
      <c r="B268" s="3">
        <v>41043</v>
      </c>
      <c r="C268" s="4" t="s">
        <v>16</v>
      </c>
      <c r="D268" s="4" t="s">
        <v>40</v>
      </c>
      <c r="E268" s="4" t="s">
        <v>27</v>
      </c>
      <c r="F268" s="2">
        <v>50</v>
      </c>
      <c r="G268" s="5">
        <v>4165</v>
      </c>
      <c r="H268" s="2">
        <v>4</v>
      </c>
      <c r="I268" s="2">
        <v>4</v>
      </c>
      <c r="J268" s="4" t="s">
        <v>19</v>
      </c>
      <c r="K268" s="4" t="s">
        <v>36</v>
      </c>
      <c r="L268" s="4" t="s">
        <v>43</v>
      </c>
      <c r="M268" s="5">
        <v>49980</v>
      </c>
      <c r="N268" s="4" t="s">
        <v>29</v>
      </c>
      <c r="O268" s="4" t="s">
        <v>54</v>
      </c>
      <c r="P268" s="4" t="s">
        <v>52</v>
      </c>
    </row>
    <row r="269" spans="1:16" x14ac:dyDescent="0.3">
      <c r="A269" s="2">
        <v>104</v>
      </c>
      <c r="B269" s="3">
        <v>42650</v>
      </c>
      <c r="C269" s="4" t="s">
        <v>46</v>
      </c>
      <c r="D269" s="4" t="s">
        <v>48</v>
      </c>
      <c r="E269" s="4" t="s">
        <v>18</v>
      </c>
      <c r="F269" s="2">
        <v>48</v>
      </c>
      <c r="G269" s="5">
        <v>4013</v>
      </c>
      <c r="H269" s="2">
        <v>6</v>
      </c>
      <c r="I269" s="2">
        <v>2</v>
      </c>
      <c r="J269" s="4" t="s">
        <v>19</v>
      </c>
      <c r="K269" s="4" t="s">
        <v>36</v>
      </c>
      <c r="L269" s="4" t="s">
        <v>43</v>
      </c>
      <c r="M269" s="5">
        <v>48156</v>
      </c>
      <c r="N269" s="4" t="s">
        <v>29</v>
      </c>
      <c r="O269" s="4" t="s">
        <v>54</v>
      </c>
      <c r="P269" s="4" t="s">
        <v>24</v>
      </c>
    </row>
    <row r="270" spans="1:16" x14ac:dyDescent="0.3">
      <c r="A270" s="2">
        <v>106</v>
      </c>
      <c r="B270" s="3">
        <v>42919</v>
      </c>
      <c r="C270" s="4" t="s">
        <v>16</v>
      </c>
      <c r="D270" s="4" t="s">
        <v>17</v>
      </c>
      <c r="E270" s="4" t="s">
        <v>27</v>
      </c>
      <c r="F270" s="2">
        <v>47</v>
      </c>
      <c r="G270" s="5">
        <v>5436</v>
      </c>
      <c r="H270" s="2">
        <v>4</v>
      </c>
      <c r="I270" s="2">
        <v>4</v>
      </c>
      <c r="J270" s="4" t="s">
        <v>35</v>
      </c>
      <c r="K270" s="4" t="s">
        <v>36</v>
      </c>
      <c r="L270" s="4" t="s">
        <v>21</v>
      </c>
      <c r="M270" s="5">
        <v>65232</v>
      </c>
      <c r="N270" s="4" t="s">
        <v>29</v>
      </c>
      <c r="O270" s="4" t="s">
        <v>54</v>
      </c>
      <c r="P270" s="4" t="s">
        <v>52</v>
      </c>
    </row>
    <row r="271" spans="1:16" x14ac:dyDescent="0.3">
      <c r="A271" s="2">
        <v>107</v>
      </c>
      <c r="B271" s="3">
        <v>45048</v>
      </c>
      <c r="C271" s="4" t="s">
        <v>16</v>
      </c>
      <c r="D271" s="4" t="s">
        <v>17</v>
      </c>
      <c r="E271" s="4" t="s">
        <v>18</v>
      </c>
      <c r="F271" s="2">
        <v>23</v>
      </c>
      <c r="G271" s="5">
        <v>4463</v>
      </c>
      <c r="H271" s="2">
        <v>7</v>
      </c>
      <c r="I271" s="2">
        <v>2</v>
      </c>
      <c r="J271" s="4" t="s">
        <v>19</v>
      </c>
      <c r="K271" s="4" t="s">
        <v>36</v>
      </c>
      <c r="L271" s="4" t="s">
        <v>42</v>
      </c>
      <c r="M271" s="5">
        <v>53556</v>
      </c>
      <c r="N271" s="4" t="s">
        <v>32</v>
      </c>
      <c r="O271" s="4" t="s">
        <v>54</v>
      </c>
      <c r="P271" s="4" t="s">
        <v>24</v>
      </c>
    </row>
    <row r="272" spans="1:16" x14ac:dyDescent="0.3">
      <c r="A272" s="2">
        <v>115</v>
      </c>
      <c r="B272" s="3">
        <v>40625</v>
      </c>
      <c r="C272" s="4" t="s">
        <v>16</v>
      </c>
      <c r="D272" s="4" t="s">
        <v>17</v>
      </c>
      <c r="E272" s="4" t="s">
        <v>27</v>
      </c>
      <c r="F272" s="2">
        <v>23</v>
      </c>
      <c r="G272" s="5">
        <v>4421</v>
      </c>
      <c r="H272" s="2">
        <v>4</v>
      </c>
      <c r="I272" s="2">
        <v>3</v>
      </c>
      <c r="J272" s="4" t="s">
        <v>35</v>
      </c>
      <c r="K272" s="4" t="s">
        <v>28</v>
      </c>
      <c r="L272" s="4" t="s">
        <v>42</v>
      </c>
      <c r="M272" s="5">
        <v>53052</v>
      </c>
      <c r="N272" s="4" t="s">
        <v>32</v>
      </c>
      <c r="O272" s="4" t="s">
        <v>54</v>
      </c>
      <c r="P272" s="4" t="s">
        <v>53</v>
      </c>
    </row>
    <row r="273" spans="1:16" x14ac:dyDescent="0.3">
      <c r="A273" s="2">
        <v>116</v>
      </c>
      <c r="B273" s="3">
        <v>45118</v>
      </c>
      <c r="C273" s="4" t="s">
        <v>33</v>
      </c>
      <c r="D273" s="4" t="s">
        <v>34</v>
      </c>
      <c r="E273" s="4" t="s">
        <v>18</v>
      </c>
      <c r="F273" s="2">
        <v>43</v>
      </c>
      <c r="G273" s="5">
        <v>9502</v>
      </c>
      <c r="H273" s="2">
        <v>7</v>
      </c>
      <c r="I273" s="2">
        <v>1</v>
      </c>
      <c r="J273" s="4" t="s">
        <v>35</v>
      </c>
      <c r="K273" s="4" t="s">
        <v>20</v>
      </c>
      <c r="L273" s="4" t="s">
        <v>39</v>
      </c>
      <c r="M273" s="5">
        <v>114024</v>
      </c>
      <c r="N273" s="4" t="s">
        <v>22</v>
      </c>
      <c r="O273" s="4" t="s">
        <v>54</v>
      </c>
      <c r="P273" s="4" t="s">
        <v>24</v>
      </c>
    </row>
    <row r="274" spans="1:16" x14ac:dyDescent="0.3">
      <c r="A274" s="2">
        <v>119</v>
      </c>
      <c r="B274" s="3">
        <v>41106</v>
      </c>
      <c r="C274" s="4" t="s">
        <v>46</v>
      </c>
      <c r="D274" s="4" t="s">
        <v>48</v>
      </c>
      <c r="E274" s="4" t="s">
        <v>27</v>
      </c>
      <c r="F274" s="2">
        <v>50</v>
      </c>
      <c r="G274" s="5">
        <v>10952</v>
      </c>
      <c r="H274" s="2">
        <v>6</v>
      </c>
      <c r="I274" s="2">
        <v>5</v>
      </c>
      <c r="J274" s="4" t="s">
        <v>19</v>
      </c>
      <c r="K274" s="4" t="s">
        <v>36</v>
      </c>
      <c r="L274" s="4" t="s">
        <v>42</v>
      </c>
      <c r="M274" s="5">
        <v>131424</v>
      </c>
      <c r="N274" s="4" t="s">
        <v>29</v>
      </c>
      <c r="O274" s="4" t="s">
        <v>54</v>
      </c>
      <c r="P274" s="4" t="s">
        <v>52</v>
      </c>
    </row>
    <row r="275" spans="1:16" x14ac:dyDescent="0.3">
      <c r="A275" s="2">
        <v>125</v>
      </c>
      <c r="B275" s="3">
        <v>44007</v>
      </c>
      <c r="C275" s="4" t="s">
        <v>25</v>
      </c>
      <c r="D275" s="4" t="s">
        <v>26</v>
      </c>
      <c r="E275" s="4" t="s">
        <v>27</v>
      </c>
      <c r="F275" s="2">
        <v>30</v>
      </c>
      <c r="G275" s="5">
        <v>11987</v>
      </c>
      <c r="H275" s="2">
        <v>5</v>
      </c>
      <c r="I275" s="2">
        <v>2</v>
      </c>
      <c r="J275" s="4" t="s">
        <v>19</v>
      </c>
      <c r="K275" s="4" t="s">
        <v>36</v>
      </c>
      <c r="L275" s="4" t="s">
        <v>42</v>
      </c>
      <c r="M275" s="5">
        <v>143844</v>
      </c>
      <c r="N275" s="4" t="s">
        <v>22</v>
      </c>
      <c r="O275" s="4" t="s">
        <v>54</v>
      </c>
      <c r="P275" s="4" t="s">
        <v>24</v>
      </c>
    </row>
    <row r="276" spans="1:16" x14ac:dyDescent="0.3">
      <c r="A276" s="2">
        <v>128</v>
      </c>
      <c r="B276" s="3">
        <v>44367</v>
      </c>
      <c r="C276" s="4" t="s">
        <v>44</v>
      </c>
      <c r="D276" s="4" t="s">
        <v>45</v>
      </c>
      <c r="E276" s="4" t="s">
        <v>18</v>
      </c>
      <c r="F276" s="2">
        <v>25</v>
      </c>
      <c r="G276" s="5">
        <v>7068</v>
      </c>
      <c r="H276" s="2">
        <v>3</v>
      </c>
      <c r="I276" s="2">
        <v>1</v>
      </c>
      <c r="J276" s="4" t="s">
        <v>19</v>
      </c>
      <c r="K276" s="4" t="s">
        <v>28</v>
      </c>
      <c r="L276" s="4" t="s">
        <v>31</v>
      </c>
      <c r="M276" s="5">
        <v>84816</v>
      </c>
      <c r="N276" s="4" t="s">
        <v>32</v>
      </c>
      <c r="O276" s="4" t="s">
        <v>54</v>
      </c>
      <c r="P276" s="4" t="s">
        <v>24</v>
      </c>
    </row>
    <row r="277" spans="1:16" x14ac:dyDescent="0.3">
      <c r="A277" s="2">
        <v>134</v>
      </c>
      <c r="B277" s="3">
        <v>42038</v>
      </c>
      <c r="C277" s="4" t="s">
        <v>25</v>
      </c>
      <c r="D277" s="4" t="s">
        <v>30</v>
      </c>
      <c r="E277" s="4" t="s">
        <v>27</v>
      </c>
      <c r="F277" s="2">
        <v>53</v>
      </c>
      <c r="G277" s="5">
        <v>9130</v>
      </c>
      <c r="H277" s="2">
        <v>7</v>
      </c>
      <c r="I277" s="2">
        <v>5</v>
      </c>
      <c r="J277" s="4" t="s">
        <v>19</v>
      </c>
      <c r="K277" s="4" t="s">
        <v>28</v>
      </c>
      <c r="L277" s="4" t="s">
        <v>21</v>
      </c>
      <c r="M277" s="5">
        <v>109560</v>
      </c>
      <c r="N277" s="4" t="s">
        <v>29</v>
      </c>
      <c r="O277" s="4" t="s">
        <v>54</v>
      </c>
      <c r="P277" s="4" t="s">
        <v>52</v>
      </c>
    </row>
    <row r="278" spans="1:16" x14ac:dyDescent="0.3">
      <c r="A278" s="2">
        <v>137</v>
      </c>
      <c r="B278" s="3">
        <v>42336</v>
      </c>
      <c r="C278" s="4" t="s">
        <v>16</v>
      </c>
      <c r="D278" s="4" t="s">
        <v>17</v>
      </c>
      <c r="E278" s="4" t="s">
        <v>18</v>
      </c>
      <c r="F278" s="2">
        <v>41</v>
      </c>
      <c r="G278" s="5">
        <v>7084</v>
      </c>
      <c r="H278" s="2">
        <v>5</v>
      </c>
      <c r="I278" s="2">
        <v>1</v>
      </c>
      <c r="J278" s="4" t="s">
        <v>19</v>
      </c>
      <c r="K278" s="4" t="s">
        <v>20</v>
      </c>
      <c r="L278" s="4" t="s">
        <v>21</v>
      </c>
      <c r="M278" s="5">
        <v>85008</v>
      </c>
      <c r="N278" s="4" t="s">
        <v>22</v>
      </c>
      <c r="O278" s="4" t="s">
        <v>54</v>
      </c>
      <c r="P278" s="4" t="s">
        <v>24</v>
      </c>
    </row>
    <row r="279" spans="1:16" x14ac:dyDescent="0.3">
      <c r="A279" s="2">
        <v>145</v>
      </c>
      <c r="B279" s="3">
        <v>41675</v>
      </c>
      <c r="C279" s="4" t="s">
        <v>37</v>
      </c>
      <c r="D279" s="4" t="s">
        <v>38</v>
      </c>
      <c r="E279" s="4" t="s">
        <v>18</v>
      </c>
      <c r="F279" s="2">
        <v>48</v>
      </c>
      <c r="G279" s="5">
        <v>14050</v>
      </c>
      <c r="H279" s="2">
        <v>7</v>
      </c>
      <c r="I279" s="2">
        <v>1</v>
      </c>
      <c r="J279" s="4" t="s">
        <v>19</v>
      </c>
      <c r="K279" s="4" t="s">
        <v>20</v>
      </c>
      <c r="L279" s="4" t="s">
        <v>39</v>
      </c>
      <c r="M279" s="5">
        <v>168600</v>
      </c>
      <c r="N279" s="4" t="s">
        <v>29</v>
      </c>
      <c r="O279" s="4" t="s">
        <v>54</v>
      </c>
      <c r="P279" s="4" t="s">
        <v>24</v>
      </c>
    </row>
    <row r="280" spans="1:16" x14ac:dyDescent="0.3">
      <c r="A280" s="2">
        <v>147</v>
      </c>
      <c r="B280" s="3">
        <v>43425</v>
      </c>
      <c r="C280" s="4" t="s">
        <v>25</v>
      </c>
      <c r="D280" s="4" t="s">
        <v>30</v>
      </c>
      <c r="E280" s="4" t="s">
        <v>18</v>
      </c>
      <c r="F280" s="2">
        <v>24</v>
      </c>
      <c r="G280" s="5">
        <v>9169</v>
      </c>
      <c r="H280" s="2">
        <v>6</v>
      </c>
      <c r="I280" s="2">
        <v>2</v>
      </c>
      <c r="J280" s="4" t="s">
        <v>19</v>
      </c>
      <c r="K280" s="4" t="s">
        <v>20</v>
      </c>
      <c r="L280" s="4" t="s">
        <v>39</v>
      </c>
      <c r="M280" s="5">
        <v>110028</v>
      </c>
      <c r="N280" s="4" t="s">
        <v>32</v>
      </c>
      <c r="O280" s="4" t="s">
        <v>54</v>
      </c>
      <c r="P280" s="4" t="s">
        <v>24</v>
      </c>
    </row>
    <row r="281" spans="1:16" x14ac:dyDescent="0.3">
      <c r="A281" s="2">
        <v>150</v>
      </c>
      <c r="B281" s="3">
        <v>44162</v>
      </c>
      <c r="C281" s="4" t="s">
        <v>37</v>
      </c>
      <c r="D281" s="4" t="s">
        <v>38</v>
      </c>
      <c r="E281" s="4" t="s">
        <v>27</v>
      </c>
      <c r="F281" s="2">
        <v>56</v>
      </c>
      <c r="G281" s="5">
        <v>8940</v>
      </c>
      <c r="H281" s="2">
        <v>4</v>
      </c>
      <c r="I281" s="2">
        <v>3</v>
      </c>
      <c r="J281" s="4" t="s">
        <v>35</v>
      </c>
      <c r="K281" s="4" t="s">
        <v>36</v>
      </c>
      <c r="L281" s="4" t="s">
        <v>31</v>
      </c>
      <c r="M281" s="5">
        <v>107280</v>
      </c>
      <c r="N281" s="4" t="s">
        <v>29</v>
      </c>
      <c r="O281" s="4" t="s">
        <v>54</v>
      </c>
      <c r="P281" s="4" t="s">
        <v>53</v>
      </c>
    </row>
    <row r="282" spans="1:16" x14ac:dyDescent="0.3">
      <c r="A282" s="2">
        <v>151</v>
      </c>
      <c r="B282" s="3">
        <v>42152</v>
      </c>
      <c r="C282" s="4" t="s">
        <v>46</v>
      </c>
      <c r="D282" s="4" t="s">
        <v>48</v>
      </c>
      <c r="E282" s="4" t="s">
        <v>27</v>
      </c>
      <c r="F282" s="2">
        <v>38</v>
      </c>
      <c r="G282" s="5">
        <v>18786</v>
      </c>
      <c r="H282" s="2">
        <v>6</v>
      </c>
      <c r="I282" s="2">
        <v>5</v>
      </c>
      <c r="J282" s="4" t="s">
        <v>19</v>
      </c>
      <c r="K282" s="4" t="s">
        <v>36</v>
      </c>
      <c r="L282" s="4" t="s">
        <v>43</v>
      </c>
      <c r="M282" s="5">
        <v>225432</v>
      </c>
      <c r="N282" s="4" t="s">
        <v>22</v>
      </c>
      <c r="O282" s="4" t="s">
        <v>54</v>
      </c>
      <c r="P282" s="4" t="s">
        <v>52</v>
      </c>
    </row>
    <row r="283" spans="1:16" x14ac:dyDescent="0.3">
      <c r="A283" s="2">
        <v>153</v>
      </c>
      <c r="B283" s="3">
        <v>41846</v>
      </c>
      <c r="C283" s="4" t="s">
        <v>46</v>
      </c>
      <c r="D283" s="4" t="s">
        <v>48</v>
      </c>
      <c r="E283" s="4" t="s">
        <v>27</v>
      </c>
      <c r="F283" s="2">
        <v>40</v>
      </c>
      <c r="G283" s="5">
        <v>6468</v>
      </c>
      <c r="H283" s="2">
        <v>4</v>
      </c>
      <c r="I283" s="2">
        <v>1</v>
      </c>
      <c r="J283" s="4" t="s">
        <v>19</v>
      </c>
      <c r="K283" s="4" t="s">
        <v>28</v>
      </c>
      <c r="L283" s="4" t="s">
        <v>43</v>
      </c>
      <c r="M283" s="5">
        <v>77616</v>
      </c>
      <c r="N283" s="4" t="s">
        <v>22</v>
      </c>
      <c r="O283" s="4" t="s">
        <v>54</v>
      </c>
      <c r="P283" s="4" t="s">
        <v>24</v>
      </c>
    </row>
    <row r="284" spans="1:16" x14ac:dyDescent="0.3">
      <c r="A284" s="2">
        <v>155</v>
      </c>
      <c r="B284" s="3">
        <v>42084</v>
      </c>
      <c r="C284" s="4" t="s">
        <v>33</v>
      </c>
      <c r="D284" s="4" t="s">
        <v>49</v>
      </c>
      <c r="E284" s="4" t="s">
        <v>27</v>
      </c>
      <c r="F284" s="2">
        <v>26</v>
      </c>
      <c r="G284" s="5">
        <v>7287</v>
      </c>
      <c r="H284" s="2">
        <v>4</v>
      </c>
      <c r="I284" s="2">
        <v>5</v>
      </c>
      <c r="J284" s="4" t="s">
        <v>35</v>
      </c>
      <c r="K284" s="4" t="s">
        <v>20</v>
      </c>
      <c r="L284" s="4" t="s">
        <v>42</v>
      </c>
      <c r="M284" s="5">
        <v>87444</v>
      </c>
      <c r="N284" s="4" t="s">
        <v>32</v>
      </c>
      <c r="O284" s="4" t="s">
        <v>54</v>
      </c>
      <c r="P284" s="4" t="s">
        <v>52</v>
      </c>
    </row>
    <row r="285" spans="1:16" x14ac:dyDescent="0.3">
      <c r="A285" s="2">
        <v>157</v>
      </c>
      <c r="B285" s="3">
        <v>43887</v>
      </c>
      <c r="C285" s="4" t="s">
        <v>25</v>
      </c>
      <c r="D285" s="4" t="s">
        <v>30</v>
      </c>
      <c r="E285" s="4" t="s">
        <v>27</v>
      </c>
      <c r="F285" s="2">
        <v>46</v>
      </c>
      <c r="G285" s="5">
        <v>17248</v>
      </c>
      <c r="H285" s="2">
        <v>7</v>
      </c>
      <c r="I285" s="2">
        <v>2</v>
      </c>
      <c r="J285" s="4" t="s">
        <v>19</v>
      </c>
      <c r="K285" s="4" t="s">
        <v>28</v>
      </c>
      <c r="L285" s="4" t="s">
        <v>21</v>
      </c>
      <c r="M285" s="5">
        <v>206976</v>
      </c>
      <c r="N285" s="4" t="s">
        <v>29</v>
      </c>
      <c r="O285" s="4" t="s">
        <v>54</v>
      </c>
      <c r="P285" s="4" t="s">
        <v>24</v>
      </c>
    </row>
    <row r="286" spans="1:16" x14ac:dyDescent="0.3">
      <c r="A286" s="2">
        <v>158</v>
      </c>
      <c r="B286" s="3">
        <v>42679</v>
      </c>
      <c r="C286" s="4" t="s">
        <v>46</v>
      </c>
      <c r="D286" s="4" t="s">
        <v>51</v>
      </c>
      <c r="E286" s="4" t="s">
        <v>27</v>
      </c>
      <c r="F286" s="2">
        <v>43</v>
      </c>
      <c r="G286" s="5">
        <v>17261</v>
      </c>
      <c r="H286" s="2">
        <v>6</v>
      </c>
      <c r="I286" s="2">
        <v>5</v>
      </c>
      <c r="J286" s="4" t="s">
        <v>19</v>
      </c>
      <c r="K286" s="4" t="s">
        <v>20</v>
      </c>
      <c r="L286" s="4" t="s">
        <v>39</v>
      </c>
      <c r="M286" s="5">
        <v>207132</v>
      </c>
      <c r="N286" s="4" t="s">
        <v>22</v>
      </c>
      <c r="O286" s="4" t="s">
        <v>54</v>
      </c>
      <c r="P286" s="4" t="s">
        <v>52</v>
      </c>
    </row>
    <row r="287" spans="1:16" x14ac:dyDescent="0.3">
      <c r="A287" s="2">
        <v>160</v>
      </c>
      <c r="B287" s="3">
        <v>42536</v>
      </c>
      <c r="C287" s="4" t="s">
        <v>16</v>
      </c>
      <c r="D287" s="4" t="s">
        <v>40</v>
      </c>
      <c r="E287" s="4" t="s">
        <v>27</v>
      </c>
      <c r="F287" s="2">
        <v>53</v>
      </c>
      <c r="G287" s="5">
        <v>16320</v>
      </c>
      <c r="H287" s="2">
        <v>5</v>
      </c>
      <c r="I287" s="2">
        <v>4</v>
      </c>
      <c r="J287" s="4" t="s">
        <v>19</v>
      </c>
      <c r="K287" s="4" t="s">
        <v>28</v>
      </c>
      <c r="L287" s="4" t="s">
        <v>21</v>
      </c>
      <c r="M287" s="5">
        <v>195840</v>
      </c>
      <c r="N287" s="4" t="s">
        <v>29</v>
      </c>
      <c r="O287" s="4" t="s">
        <v>54</v>
      </c>
      <c r="P287" s="4" t="s">
        <v>52</v>
      </c>
    </row>
    <row r="288" spans="1:16" x14ac:dyDescent="0.3">
      <c r="A288" s="2">
        <v>165</v>
      </c>
      <c r="B288" s="3">
        <v>44042</v>
      </c>
      <c r="C288" s="4" t="s">
        <v>33</v>
      </c>
      <c r="D288" s="4" t="s">
        <v>34</v>
      </c>
      <c r="E288" s="4" t="s">
        <v>27</v>
      </c>
      <c r="F288" s="2">
        <v>27</v>
      </c>
      <c r="G288" s="5">
        <v>17844</v>
      </c>
      <c r="H288" s="2">
        <v>5</v>
      </c>
      <c r="I288" s="2">
        <v>1</v>
      </c>
      <c r="J288" s="4" t="s">
        <v>19</v>
      </c>
      <c r="K288" s="4" t="s">
        <v>36</v>
      </c>
      <c r="L288" s="4" t="s">
        <v>21</v>
      </c>
      <c r="M288" s="5">
        <v>214128</v>
      </c>
      <c r="N288" s="4" t="s">
        <v>32</v>
      </c>
      <c r="O288" s="4" t="s">
        <v>54</v>
      </c>
      <c r="P288" s="4" t="s">
        <v>24</v>
      </c>
    </row>
    <row r="289" spans="1:16" x14ac:dyDescent="0.3">
      <c r="A289" s="2">
        <v>168</v>
      </c>
      <c r="B289" s="3">
        <v>40246</v>
      </c>
      <c r="C289" s="4" t="s">
        <v>44</v>
      </c>
      <c r="D289" s="4" t="s">
        <v>50</v>
      </c>
      <c r="E289" s="4" t="s">
        <v>18</v>
      </c>
      <c r="F289" s="2">
        <v>28</v>
      </c>
      <c r="G289" s="5">
        <v>10335</v>
      </c>
      <c r="H289" s="2">
        <v>5</v>
      </c>
      <c r="I289" s="2">
        <v>1</v>
      </c>
      <c r="J289" s="4" t="s">
        <v>35</v>
      </c>
      <c r="K289" s="4" t="s">
        <v>28</v>
      </c>
      <c r="L289" s="4" t="s">
        <v>31</v>
      </c>
      <c r="M289" s="5">
        <v>124020</v>
      </c>
      <c r="N289" s="4" t="s">
        <v>32</v>
      </c>
      <c r="O289" s="4" t="s">
        <v>54</v>
      </c>
      <c r="P289" s="4" t="s">
        <v>24</v>
      </c>
    </row>
    <row r="290" spans="1:16" x14ac:dyDescent="0.3">
      <c r="A290" s="2">
        <v>171</v>
      </c>
      <c r="B290" s="3">
        <v>43729</v>
      </c>
      <c r="C290" s="4" t="s">
        <v>37</v>
      </c>
      <c r="D290" s="4" t="s">
        <v>38</v>
      </c>
      <c r="E290" s="4" t="s">
        <v>18</v>
      </c>
      <c r="F290" s="2">
        <v>35</v>
      </c>
      <c r="G290" s="5">
        <v>6585</v>
      </c>
      <c r="H290" s="2">
        <v>6</v>
      </c>
      <c r="I290" s="2">
        <v>1</v>
      </c>
      <c r="J290" s="4" t="s">
        <v>35</v>
      </c>
      <c r="K290" s="4" t="s">
        <v>36</v>
      </c>
      <c r="L290" s="4" t="s">
        <v>21</v>
      </c>
      <c r="M290" s="5">
        <v>79020</v>
      </c>
      <c r="N290" s="4" t="s">
        <v>22</v>
      </c>
      <c r="O290" s="4" t="s">
        <v>54</v>
      </c>
      <c r="P290" s="4" t="s">
        <v>24</v>
      </c>
    </row>
    <row r="291" spans="1:16" x14ac:dyDescent="0.3">
      <c r="A291" s="2">
        <v>173</v>
      </c>
      <c r="B291" s="3">
        <v>40544</v>
      </c>
      <c r="C291" s="4" t="s">
        <v>44</v>
      </c>
      <c r="D291" s="4" t="s">
        <v>45</v>
      </c>
      <c r="E291" s="4" t="s">
        <v>18</v>
      </c>
      <c r="F291" s="2">
        <v>54</v>
      </c>
      <c r="G291" s="5">
        <v>19206</v>
      </c>
      <c r="H291" s="2">
        <v>4</v>
      </c>
      <c r="I291" s="2">
        <v>4</v>
      </c>
      <c r="J291" s="4" t="s">
        <v>35</v>
      </c>
      <c r="K291" s="4" t="s">
        <v>28</v>
      </c>
      <c r="L291" s="4" t="s">
        <v>43</v>
      </c>
      <c r="M291" s="5">
        <v>230472</v>
      </c>
      <c r="N291" s="4" t="s">
        <v>29</v>
      </c>
      <c r="O291" s="4" t="s">
        <v>54</v>
      </c>
      <c r="P291" s="4" t="s">
        <v>52</v>
      </c>
    </row>
    <row r="292" spans="1:16" x14ac:dyDescent="0.3">
      <c r="A292" s="2">
        <v>174</v>
      </c>
      <c r="B292" s="3">
        <v>40537</v>
      </c>
      <c r="C292" s="4" t="s">
        <v>44</v>
      </c>
      <c r="D292" s="4" t="s">
        <v>45</v>
      </c>
      <c r="E292" s="4" t="s">
        <v>18</v>
      </c>
      <c r="F292" s="2">
        <v>38</v>
      </c>
      <c r="G292" s="5">
        <v>13334</v>
      </c>
      <c r="H292" s="2">
        <v>4</v>
      </c>
      <c r="I292" s="2">
        <v>3</v>
      </c>
      <c r="J292" s="4" t="s">
        <v>19</v>
      </c>
      <c r="K292" s="4" t="s">
        <v>36</v>
      </c>
      <c r="L292" s="4" t="s">
        <v>31</v>
      </c>
      <c r="M292" s="5">
        <v>160008</v>
      </c>
      <c r="N292" s="4" t="s">
        <v>22</v>
      </c>
      <c r="O292" s="4" t="s">
        <v>54</v>
      </c>
      <c r="P292" s="4" t="s">
        <v>53</v>
      </c>
    </row>
    <row r="293" spans="1:16" x14ac:dyDescent="0.3">
      <c r="A293" s="2">
        <v>177</v>
      </c>
      <c r="B293" s="3">
        <v>42453</v>
      </c>
      <c r="C293" s="4" t="s">
        <v>44</v>
      </c>
      <c r="D293" s="4" t="s">
        <v>45</v>
      </c>
      <c r="E293" s="4" t="s">
        <v>27</v>
      </c>
      <c r="F293" s="2">
        <v>35</v>
      </c>
      <c r="G293" s="5">
        <v>16157</v>
      </c>
      <c r="H293" s="2">
        <v>7</v>
      </c>
      <c r="I293" s="2">
        <v>2</v>
      </c>
      <c r="J293" s="4" t="s">
        <v>19</v>
      </c>
      <c r="K293" s="4" t="s">
        <v>28</v>
      </c>
      <c r="L293" s="4" t="s">
        <v>31</v>
      </c>
      <c r="M293" s="5">
        <v>193884</v>
      </c>
      <c r="N293" s="4" t="s">
        <v>22</v>
      </c>
      <c r="O293" s="4" t="s">
        <v>54</v>
      </c>
      <c r="P293" s="4" t="s">
        <v>24</v>
      </c>
    </row>
    <row r="294" spans="1:16" x14ac:dyDescent="0.3">
      <c r="A294" s="2">
        <v>184</v>
      </c>
      <c r="B294" s="3">
        <v>43670</v>
      </c>
      <c r="C294" s="4" t="s">
        <v>25</v>
      </c>
      <c r="D294" s="4" t="s">
        <v>26</v>
      </c>
      <c r="E294" s="4" t="s">
        <v>18</v>
      </c>
      <c r="F294" s="2">
        <v>23</v>
      </c>
      <c r="G294" s="5">
        <v>8712</v>
      </c>
      <c r="H294" s="2">
        <v>7</v>
      </c>
      <c r="I294" s="2">
        <v>5</v>
      </c>
      <c r="J294" s="4" t="s">
        <v>35</v>
      </c>
      <c r="K294" s="4" t="s">
        <v>36</v>
      </c>
      <c r="L294" s="4" t="s">
        <v>21</v>
      </c>
      <c r="M294" s="5">
        <v>104544</v>
      </c>
      <c r="N294" s="4" t="s">
        <v>32</v>
      </c>
      <c r="O294" s="4" t="s">
        <v>54</v>
      </c>
      <c r="P294" s="4" t="s">
        <v>52</v>
      </c>
    </row>
    <row r="295" spans="1:16" x14ac:dyDescent="0.3">
      <c r="A295" s="2">
        <v>185</v>
      </c>
      <c r="B295" s="3">
        <v>40680</v>
      </c>
      <c r="C295" s="4" t="s">
        <v>33</v>
      </c>
      <c r="D295" s="4" t="s">
        <v>34</v>
      </c>
      <c r="E295" s="4" t="s">
        <v>27</v>
      </c>
      <c r="F295" s="2">
        <v>48</v>
      </c>
      <c r="G295" s="5">
        <v>4601</v>
      </c>
      <c r="H295" s="2">
        <v>3</v>
      </c>
      <c r="I295" s="2">
        <v>3</v>
      </c>
      <c r="J295" s="4" t="s">
        <v>35</v>
      </c>
      <c r="K295" s="4" t="s">
        <v>20</v>
      </c>
      <c r="L295" s="4" t="s">
        <v>43</v>
      </c>
      <c r="M295" s="5">
        <v>55212</v>
      </c>
      <c r="N295" s="4" t="s">
        <v>29</v>
      </c>
      <c r="O295" s="4" t="s">
        <v>54</v>
      </c>
      <c r="P295" s="4" t="s">
        <v>53</v>
      </c>
    </row>
    <row r="296" spans="1:16" x14ac:dyDescent="0.3">
      <c r="A296" s="2">
        <v>186</v>
      </c>
      <c r="B296" s="3">
        <v>43117</v>
      </c>
      <c r="C296" s="4" t="s">
        <v>16</v>
      </c>
      <c r="D296" s="4" t="s">
        <v>17</v>
      </c>
      <c r="E296" s="4" t="s">
        <v>27</v>
      </c>
      <c r="F296" s="2">
        <v>47</v>
      </c>
      <c r="G296" s="5">
        <v>15035</v>
      </c>
      <c r="H296" s="2">
        <v>3</v>
      </c>
      <c r="I296" s="2">
        <v>2</v>
      </c>
      <c r="J296" s="4" t="s">
        <v>35</v>
      </c>
      <c r="K296" s="4" t="s">
        <v>20</v>
      </c>
      <c r="L296" s="4" t="s">
        <v>42</v>
      </c>
      <c r="M296" s="5">
        <v>180420</v>
      </c>
      <c r="N296" s="4" t="s">
        <v>29</v>
      </c>
      <c r="O296" s="4" t="s">
        <v>54</v>
      </c>
      <c r="P296" s="4" t="s">
        <v>24</v>
      </c>
    </row>
    <row r="297" spans="1:16" x14ac:dyDescent="0.3">
      <c r="A297" s="2">
        <v>187</v>
      </c>
      <c r="B297" s="3">
        <v>40374</v>
      </c>
      <c r="C297" s="4" t="s">
        <v>33</v>
      </c>
      <c r="D297" s="4" t="s">
        <v>49</v>
      </c>
      <c r="E297" s="4" t="s">
        <v>18</v>
      </c>
      <c r="F297" s="2">
        <v>53</v>
      </c>
      <c r="G297" s="5">
        <v>12715</v>
      </c>
      <c r="H297" s="2">
        <v>4</v>
      </c>
      <c r="I297" s="2">
        <v>5</v>
      </c>
      <c r="J297" s="4" t="s">
        <v>35</v>
      </c>
      <c r="K297" s="4" t="s">
        <v>28</v>
      </c>
      <c r="L297" s="4" t="s">
        <v>39</v>
      </c>
      <c r="M297" s="5">
        <v>152580</v>
      </c>
      <c r="N297" s="4" t="s">
        <v>29</v>
      </c>
      <c r="O297" s="4" t="s">
        <v>54</v>
      </c>
      <c r="P297" s="4" t="s">
        <v>52</v>
      </c>
    </row>
    <row r="298" spans="1:16" x14ac:dyDescent="0.3">
      <c r="A298" s="2">
        <v>188</v>
      </c>
      <c r="B298" s="3">
        <v>40711</v>
      </c>
      <c r="C298" s="4" t="s">
        <v>37</v>
      </c>
      <c r="D298" s="4" t="s">
        <v>38</v>
      </c>
      <c r="E298" s="4" t="s">
        <v>27</v>
      </c>
      <c r="F298" s="2">
        <v>43</v>
      </c>
      <c r="G298" s="5">
        <v>13920</v>
      </c>
      <c r="H298" s="2">
        <v>6</v>
      </c>
      <c r="I298" s="2">
        <v>2</v>
      </c>
      <c r="J298" s="4" t="s">
        <v>19</v>
      </c>
      <c r="K298" s="4" t="s">
        <v>36</v>
      </c>
      <c r="L298" s="4" t="s">
        <v>43</v>
      </c>
      <c r="M298" s="5">
        <v>167040</v>
      </c>
      <c r="N298" s="4" t="s">
        <v>22</v>
      </c>
      <c r="O298" s="4" t="s">
        <v>54</v>
      </c>
      <c r="P298" s="4" t="s">
        <v>24</v>
      </c>
    </row>
    <row r="299" spans="1:16" x14ac:dyDescent="0.3">
      <c r="A299" s="2">
        <v>190</v>
      </c>
      <c r="B299" s="3">
        <v>42866</v>
      </c>
      <c r="C299" s="4" t="s">
        <v>33</v>
      </c>
      <c r="D299" s="4" t="s">
        <v>49</v>
      </c>
      <c r="E299" s="4" t="s">
        <v>18</v>
      </c>
      <c r="F299" s="2">
        <v>39</v>
      </c>
      <c r="G299" s="5">
        <v>12697</v>
      </c>
      <c r="H299" s="2">
        <v>5</v>
      </c>
      <c r="I299" s="2">
        <v>2</v>
      </c>
      <c r="J299" s="4" t="s">
        <v>35</v>
      </c>
      <c r="K299" s="4" t="s">
        <v>20</v>
      </c>
      <c r="L299" s="4" t="s">
        <v>42</v>
      </c>
      <c r="M299" s="5">
        <v>152364</v>
      </c>
      <c r="N299" s="4" t="s">
        <v>22</v>
      </c>
      <c r="O299" s="4" t="s">
        <v>54</v>
      </c>
      <c r="P299" s="4" t="s">
        <v>24</v>
      </c>
    </row>
    <row r="300" spans="1:16" x14ac:dyDescent="0.3">
      <c r="A300" s="2">
        <v>191</v>
      </c>
      <c r="B300" s="3">
        <v>41539</v>
      </c>
      <c r="C300" s="4" t="s">
        <v>37</v>
      </c>
      <c r="D300" s="4" t="s">
        <v>38</v>
      </c>
      <c r="E300" s="4" t="s">
        <v>18</v>
      </c>
      <c r="F300" s="2">
        <v>54</v>
      </c>
      <c r="G300" s="5">
        <v>16006</v>
      </c>
      <c r="H300" s="2">
        <v>4</v>
      </c>
      <c r="I300" s="2">
        <v>3</v>
      </c>
      <c r="J300" s="4" t="s">
        <v>19</v>
      </c>
      <c r="K300" s="4" t="s">
        <v>36</v>
      </c>
      <c r="L300" s="4" t="s">
        <v>21</v>
      </c>
      <c r="M300" s="5">
        <v>192072</v>
      </c>
      <c r="N300" s="4" t="s">
        <v>29</v>
      </c>
      <c r="O300" s="4" t="s">
        <v>54</v>
      </c>
      <c r="P300" s="4" t="s">
        <v>53</v>
      </c>
    </row>
    <row r="301" spans="1:16" x14ac:dyDescent="0.3">
      <c r="A301" s="2">
        <v>193</v>
      </c>
      <c r="B301" s="3">
        <v>44065</v>
      </c>
      <c r="C301" s="4" t="s">
        <v>37</v>
      </c>
      <c r="D301" s="4" t="s">
        <v>41</v>
      </c>
      <c r="E301" s="4" t="s">
        <v>27</v>
      </c>
      <c r="F301" s="2">
        <v>36</v>
      </c>
      <c r="G301" s="5">
        <v>17042</v>
      </c>
      <c r="H301" s="2">
        <v>3</v>
      </c>
      <c r="I301" s="2">
        <v>1</v>
      </c>
      <c r="J301" s="4" t="s">
        <v>35</v>
      </c>
      <c r="K301" s="4" t="s">
        <v>36</v>
      </c>
      <c r="L301" s="4" t="s">
        <v>39</v>
      </c>
      <c r="M301" s="5">
        <v>204504</v>
      </c>
      <c r="N301" s="4" t="s">
        <v>22</v>
      </c>
      <c r="O301" s="4" t="s">
        <v>54</v>
      </c>
      <c r="P301" s="4" t="s">
        <v>24</v>
      </c>
    </row>
    <row r="302" spans="1:16" x14ac:dyDescent="0.3">
      <c r="A302" s="2">
        <v>195</v>
      </c>
      <c r="B302" s="3">
        <v>40194</v>
      </c>
      <c r="C302" s="4" t="s">
        <v>46</v>
      </c>
      <c r="D302" s="4" t="s">
        <v>51</v>
      </c>
      <c r="E302" s="4" t="s">
        <v>27</v>
      </c>
      <c r="F302" s="2">
        <v>46</v>
      </c>
      <c r="G302" s="5">
        <v>19076</v>
      </c>
      <c r="H302" s="2">
        <v>6</v>
      </c>
      <c r="I302" s="2">
        <v>2</v>
      </c>
      <c r="J302" s="4" t="s">
        <v>19</v>
      </c>
      <c r="K302" s="4" t="s">
        <v>36</v>
      </c>
      <c r="L302" s="4" t="s">
        <v>31</v>
      </c>
      <c r="M302" s="5">
        <v>228912</v>
      </c>
      <c r="N302" s="4" t="s">
        <v>29</v>
      </c>
      <c r="O302" s="4" t="s">
        <v>54</v>
      </c>
      <c r="P302" s="4" t="s">
        <v>24</v>
      </c>
    </row>
    <row r="303" spans="1:16" x14ac:dyDescent="0.3">
      <c r="A303" s="2">
        <v>198</v>
      </c>
      <c r="B303" s="3">
        <v>44717</v>
      </c>
      <c r="C303" s="4" t="s">
        <v>16</v>
      </c>
      <c r="D303" s="4" t="s">
        <v>17</v>
      </c>
      <c r="E303" s="4" t="s">
        <v>18</v>
      </c>
      <c r="F303" s="2">
        <v>34</v>
      </c>
      <c r="G303" s="5">
        <v>19715</v>
      </c>
      <c r="H303" s="2">
        <v>6</v>
      </c>
      <c r="I303" s="2">
        <v>1</v>
      </c>
      <c r="J303" s="4" t="s">
        <v>35</v>
      </c>
      <c r="K303" s="4" t="s">
        <v>36</v>
      </c>
      <c r="L303" s="4" t="s">
        <v>21</v>
      </c>
      <c r="M303" s="5">
        <v>236580</v>
      </c>
      <c r="N303" s="4" t="s">
        <v>22</v>
      </c>
      <c r="O303" s="4" t="s">
        <v>54</v>
      </c>
      <c r="P303" s="4" t="s">
        <v>24</v>
      </c>
    </row>
    <row r="304" spans="1:16" x14ac:dyDescent="0.3">
      <c r="A304" s="2">
        <v>202</v>
      </c>
      <c r="B304" s="3">
        <v>42567</v>
      </c>
      <c r="C304" s="4" t="s">
        <v>37</v>
      </c>
      <c r="D304" s="4" t="s">
        <v>38</v>
      </c>
      <c r="E304" s="4" t="s">
        <v>27</v>
      </c>
      <c r="F304" s="2">
        <v>23</v>
      </c>
      <c r="G304" s="5">
        <v>8446</v>
      </c>
      <c r="H304" s="2">
        <v>3</v>
      </c>
      <c r="I304" s="2">
        <v>4</v>
      </c>
      <c r="J304" s="4" t="s">
        <v>35</v>
      </c>
      <c r="K304" s="4" t="s">
        <v>20</v>
      </c>
      <c r="L304" s="4" t="s">
        <v>31</v>
      </c>
      <c r="M304" s="5">
        <v>101352</v>
      </c>
      <c r="N304" s="4" t="s">
        <v>32</v>
      </c>
      <c r="O304" s="4" t="s">
        <v>54</v>
      </c>
      <c r="P304" s="4" t="s">
        <v>52</v>
      </c>
    </row>
    <row r="305" spans="1:16" x14ac:dyDescent="0.3">
      <c r="A305" s="2">
        <v>206</v>
      </c>
      <c r="B305" s="3">
        <v>42798</v>
      </c>
      <c r="C305" s="4" t="s">
        <v>25</v>
      </c>
      <c r="D305" s="4" t="s">
        <v>26</v>
      </c>
      <c r="E305" s="4" t="s">
        <v>18</v>
      </c>
      <c r="F305" s="2">
        <v>55</v>
      </c>
      <c r="G305" s="5">
        <v>14861</v>
      </c>
      <c r="H305" s="2">
        <v>4</v>
      </c>
      <c r="I305" s="2">
        <v>2</v>
      </c>
      <c r="J305" s="4" t="s">
        <v>35</v>
      </c>
      <c r="K305" s="4" t="s">
        <v>36</v>
      </c>
      <c r="L305" s="4" t="s">
        <v>39</v>
      </c>
      <c r="M305" s="5">
        <v>178332</v>
      </c>
      <c r="N305" s="4" t="s">
        <v>29</v>
      </c>
      <c r="O305" s="4" t="s">
        <v>54</v>
      </c>
      <c r="P305" s="4" t="s">
        <v>24</v>
      </c>
    </row>
    <row r="306" spans="1:16" x14ac:dyDescent="0.3">
      <c r="A306" s="2">
        <v>210</v>
      </c>
      <c r="B306" s="3">
        <v>40505</v>
      </c>
      <c r="C306" s="4" t="s">
        <v>46</v>
      </c>
      <c r="D306" s="4" t="s">
        <v>51</v>
      </c>
      <c r="E306" s="4" t="s">
        <v>18</v>
      </c>
      <c r="F306" s="2">
        <v>53</v>
      </c>
      <c r="G306" s="5">
        <v>13928</v>
      </c>
      <c r="H306" s="2">
        <v>7</v>
      </c>
      <c r="I306" s="2">
        <v>4</v>
      </c>
      <c r="J306" s="4" t="s">
        <v>35</v>
      </c>
      <c r="K306" s="4" t="s">
        <v>20</v>
      </c>
      <c r="L306" s="4" t="s">
        <v>42</v>
      </c>
      <c r="M306" s="5">
        <v>167136</v>
      </c>
      <c r="N306" s="4" t="s">
        <v>29</v>
      </c>
      <c r="O306" s="4" t="s">
        <v>54</v>
      </c>
      <c r="P306" s="4" t="s">
        <v>52</v>
      </c>
    </row>
    <row r="307" spans="1:16" x14ac:dyDescent="0.3">
      <c r="A307" s="2">
        <v>216</v>
      </c>
      <c r="B307" s="3">
        <v>44364</v>
      </c>
      <c r="C307" s="4" t="s">
        <v>44</v>
      </c>
      <c r="D307" s="4" t="s">
        <v>50</v>
      </c>
      <c r="E307" s="4" t="s">
        <v>18</v>
      </c>
      <c r="F307" s="2">
        <v>26</v>
      </c>
      <c r="G307" s="5">
        <v>12713</v>
      </c>
      <c r="H307" s="2">
        <v>3</v>
      </c>
      <c r="I307" s="2">
        <v>1</v>
      </c>
      <c r="J307" s="4" t="s">
        <v>19</v>
      </c>
      <c r="K307" s="4" t="s">
        <v>36</v>
      </c>
      <c r="L307" s="4" t="s">
        <v>43</v>
      </c>
      <c r="M307" s="5">
        <v>152556</v>
      </c>
      <c r="N307" s="4" t="s">
        <v>32</v>
      </c>
      <c r="O307" s="4" t="s">
        <v>54</v>
      </c>
      <c r="P307" s="4" t="s">
        <v>24</v>
      </c>
    </row>
    <row r="308" spans="1:16" x14ac:dyDescent="0.3">
      <c r="A308" s="2">
        <v>218</v>
      </c>
      <c r="B308" s="3">
        <v>43756</v>
      </c>
      <c r="C308" s="4" t="s">
        <v>37</v>
      </c>
      <c r="D308" s="4" t="s">
        <v>41</v>
      </c>
      <c r="E308" s="4" t="s">
        <v>27</v>
      </c>
      <c r="F308" s="2">
        <v>22</v>
      </c>
      <c r="G308" s="5">
        <v>10212</v>
      </c>
      <c r="H308" s="2">
        <v>7</v>
      </c>
      <c r="I308" s="2">
        <v>1</v>
      </c>
      <c r="J308" s="4" t="s">
        <v>19</v>
      </c>
      <c r="K308" s="4" t="s">
        <v>28</v>
      </c>
      <c r="L308" s="4" t="s">
        <v>39</v>
      </c>
      <c r="M308" s="5">
        <v>122544</v>
      </c>
      <c r="N308" s="4" t="s">
        <v>32</v>
      </c>
      <c r="O308" s="4" t="s">
        <v>54</v>
      </c>
      <c r="P308" s="4" t="s">
        <v>24</v>
      </c>
    </row>
    <row r="309" spans="1:16" x14ac:dyDescent="0.3">
      <c r="A309" s="2">
        <v>225</v>
      </c>
      <c r="B309" s="3">
        <v>41351</v>
      </c>
      <c r="C309" s="4" t="s">
        <v>16</v>
      </c>
      <c r="D309" s="4" t="s">
        <v>17</v>
      </c>
      <c r="E309" s="4" t="s">
        <v>27</v>
      </c>
      <c r="F309" s="2">
        <v>52</v>
      </c>
      <c r="G309" s="5">
        <v>9294</v>
      </c>
      <c r="H309" s="2">
        <v>3</v>
      </c>
      <c r="I309" s="2">
        <v>3</v>
      </c>
      <c r="J309" s="4" t="s">
        <v>19</v>
      </c>
      <c r="K309" s="4" t="s">
        <v>36</v>
      </c>
      <c r="L309" s="4" t="s">
        <v>21</v>
      </c>
      <c r="M309" s="5">
        <v>111528</v>
      </c>
      <c r="N309" s="4" t="s">
        <v>29</v>
      </c>
      <c r="O309" s="4" t="s">
        <v>54</v>
      </c>
      <c r="P309" s="4" t="s">
        <v>53</v>
      </c>
    </row>
    <row r="310" spans="1:16" x14ac:dyDescent="0.3">
      <c r="A310" s="2">
        <v>226</v>
      </c>
      <c r="B310" s="3">
        <v>42027</v>
      </c>
      <c r="C310" s="4" t="s">
        <v>25</v>
      </c>
      <c r="D310" s="4" t="s">
        <v>26</v>
      </c>
      <c r="E310" s="4" t="s">
        <v>18</v>
      </c>
      <c r="F310" s="2">
        <v>39</v>
      </c>
      <c r="G310" s="5">
        <v>18679</v>
      </c>
      <c r="H310" s="2">
        <v>6</v>
      </c>
      <c r="I310" s="2">
        <v>1</v>
      </c>
      <c r="J310" s="4" t="s">
        <v>35</v>
      </c>
      <c r="K310" s="4" t="s">
        <v>28</v>
      </c>
      <c r="L310" s="4" t="s">
        <v>21</v>
      </c>
      <c r="M310" s="5">
        <v>224148</v>
      </c>
      <c r="N310" s="4" t="s">
        <v>22</v>
      </c>
      <c r="O310" s="4" t="s">
        <v>54</v>
      </c>
      <c r="P310" s="4" t="s">
        <v>24</v>
      </c>
    </row>
    <row r="311" spans="1:16" x14ac:dyDescent="0.3">
      <c r="A311" s="2">
        <v>230</v>
      </c>
      <c r="B311" s="3">
        <v>44164</v>
      </c>
      <c r="C311" s="4" t="s">
        <v>37</v>
      </c>
      <c r="D311" s="4" t="s">
        <v>38</v>
      </c>
      <c r="E311" s="4" t="s">
        <v>18</v>
      </c>
      <c r="F311" s="2">
        <v>24</v>
      </c>
      <c r="G311" s="5">
        <v>4536</v>
      </c>
      <c r="H311" s="2">
        <v>3</v>
      </c>
      <c r="I311" s="2">
        <v>5</v>
      </c>
      <c r="J311" s="4" t="s">
        <v>19</v>
      </c>
      <c r="K311" s="4" t="s">
        <v>36</v>
      </c>
      <c r="L311" s="4" t="s">
        <v>21</v>
      </c>
      <c r="M311" s="5">
        <v>54432</v>
      </c>
      <c r="N311" s="4" t="s">
        <v>32</v>
      </c>
      <c r="O311" s="4" t="s">
        <v>54</v>
      </c>
      <c r="P311" s="4" t="s">
        <v>52</v>
      </c>
    </row>
    <row r="312" spans="1:16" x14ac:dyDescent="0.3">
      <c r="A312" s="2">
        <v>231</v>
      </c>
      <c r="B312" s="3">
        <v>41716</v>
      </c>
      <c r="C312" s="4" t="s">
        <v>37</v>
      </c>
      <c r="D312" s="4" t="s">
        <v>38</v>
      </c>
      <c r="E312" s="4" t="s">
        <v>18</v>
      </c>
      <c r="F312" s="2">
        <v>25</v>
      </c>
      <c r="G312" s="5">
        <v>4375</v>
      </c>
      <c r="H312" s="2">
        <v>6</v>
      </c>
      <c r="I312" s="2">
        <v>5</v>
      </c>
      <c r="J312" s="4" t="s">
        <v>35</v>
      </c>
      <c r="K312" s="4" t="s">
        <v>36</v>
      </c>
      <c r="L312" s="4" t="s">
        <v>21</v>
      </c>
      <c r="M312" s="5">
        <v>52500</v>
      </c>
      <c r="N312" s="4" t="s">
        <v>32</v>
      </c>
      <c r="O312" s="4" t="s">
        <v>54</v>
      </c>
      <c r="P312" s="4" t="s">
        <v>52</v>
      </c>
    </row>
    <row r="313" spans="1:16" x14ac:dyDescent="0.3">
      <c r="A313" s="2">
        <v>237</v>
      </c>
      <c r="B313" s="3">
        <v>40804</v>
      </c>
      <c r="C313" s="4" t="s">
        <v>33</v>
      </c>
      <c r="D313" s="4" t="s">
        <v>34</v>
      </c>
      <c r="E313" s="4" t="s">
        <v>27</v>
      </c>
      <c r="F313" s="2">
        <v>33</v>
      </c>
      <c r="G313" s="5">
        <v>15143</v>
      </c>
      <c r="H313" s="2">
        <v>4</v>
      </c>
      <c r="I313" s="2">
        <v>2</v>
      </c>
      <c r="J313" s="4" t="s">
        <v>19</v>
      </c>
      <c r="K313" s="4" t="s">
        <v>36</v>
      </c>
      <c r="L313" s="4" t="s">
        <v>21</v>
      </c>
      <c r="M313" s="5">
        <v>181716</v>
      </c>
      <c r="N313" s="4" t="s">
        <v>22</v>
      </c>
      <c r="O313" s="4" t="s">
        <v>54</v>
      </c>
      <c r="P313" s="4" t="s">
        <v>24</v>
      </c>
    </row>
    <row r="314" spans="1:16" x14ac:dyDescent="0.3">
      <c r="A314" s="2">
        <v>241</v>
      </c>
      <c r="B314" s="3">
        <v>44907</v>
      </c>
      <c r="C314" s="4" t="s">
        <v>33</v>
      </c>
      <c r="D314" s="4" t="s">
        <v>34</v>
      </c>
      <c r="E314" s="4" t="s">
        <v>18</v>
      </c>
      <c r="F314" s="2">
        <v>22</v>
      </c>
      <c r="G314" s="5">
        <v>8938</v>
      </c>
      <c r="H314" s="2">
        <v>6</v>
      </c>
      <c r="I314" s="2">
        <v>1</v>
      </c>
      <c r="J314" s="4" t="s">
        <v>19</v>
      </c>
      <c r="K314" s="4" t="s">
        <v>36</v>
      </c>
      <c r="L314" s="4" t="s">
        <v>43</v>
      </c>
      <c r="M314" s="5">
        <v>107256</v>
      </c>
      <c r="N314" s="4" t="s">
        <v>32</v>
      </c>
      <c r="O314" s="4" t="s">
        <v>54</v>
      </c>
      <c r="P314" s="4" t="s">
        <v>24</v>
      </c>
    </row>
    <row r="315" spans="1:16" x14ac:dyDescent="0.3">
      <c r="A315" s="2">
        <v>247</v>
      </c>
      <c r="B315" s="3">
        <v>44478</v>
      </c>
      <c r="C315" s="4" t="s">
        <v>46</v>
      </c>
      <c r="D315" s="4" t="s">
        <v>51</v>
      </c>
      <c r="E315" s="4" t="s">
        <v>18</v>
      </c>
      <c r="F315" s="2">
        <v>46</v>
      </c>
      <c r="G315" s="5">
        <v>14599</v>
      </c>
      <c r="H315" s="2">
        <v>7</v>
      </c>
      <c r="I315" s="2">
        <v>1</v>
      </c>
      <c r="J315" s="4" t="s">
        <v>35</v>
      </c>
      <c r="K315" s="4" t="s">
        <v>20</v>
      </c>
      <c r="L315" s="4" t="s">
        <v>39</v>
      </c>
      <c r="M315" s="5">
        <v>175188</v>
      </c>
      <c r="N315" s="4" t="s">
        <v>29</v>
      </c>
      <c r="O315" s="4" t="s">
        <v>54</v>
      </c>
      <c r="P315" s="4" t="s">
        <v>24</v>
      </c>
    </row>
    <row r="316" spans="1:16" x14ac:dyDescent="0.3">
      <c r="A316" s="2">
        <v>249</v>
      </c>
      <c r="B316" s="3">
        <v>42151</v>
      </c>
      <c r="C316" s="4" t="s">
        <v>37</v>
      </c>
      <c r="D316" s="4" t="s">
        <v>41</v>
      </c>
      <c r="E316" s="4" t="s">
        <v>27</v>
      </c>
      <c r="F316" s="2">
        <v>43</v>
      </c>
      <c r="G316" s="5">
        <v>9356</v>
      </c>
      <c r="H316" s="2">
        <v>3</v>
      </c>
      <c r="I316" s="2">
        <v>4</v>
      </c>
      <c r="J316" s="4" t="s">
        <v>35</v>
      </c>
      <c r="K316" s="4" t="s">
        <v>28</v>
      </c>
      <c r="L316" s="4" t="s">
        <v>31</v>
      </c>
      <c r="M316" s="5">
        <v>112272</v>
      </c>
      <c r="N316" s="4" t="s">
        <v>22</v>
      </c>
      <c r="O316" s="4" t="s">
        <v>54</v>
      </c>
      <c r="P316" s="4" t="s">
        <v>52</v>
      </c>
    </row>
    <row r="317" spans="1:16" x14ac:dyDescent="0.3">
      <c r="A317" s="2">
        <v>250</v>
      </c>
      <c r="B317" s="3">
        <v>40721</v>
      </c>
      <c r="C317" s="4" t="s">
        <v>46</v>
      </c>
      <c r="D317" s="4" t="s">
        <v>47</v>
      </c>
      <c r="E317" s="4" t="s">
        <v>18</v>
      </c>
      <c r="F317" s="2">
        <v>60</v>
      </c>
      <c r="G317" s="5">
        <v>8927</v>
      </c>
      <c r="H317" s="2">
        <v>5</v>
      </c>
      <c r="I317" s="2">
        <v>2</v>
      </c>
      <c r="J317" s="4" t="s">
        <v>35</v>
      </c>
      <c r="K317" s="4" t="s">
        <v>20</v>
      </c>
      <c r="L317" s="4" t="s">
        <v>42</v>
      </c>
      <c r="M317" s="5">
        <v>107124</v>
      </c>
      <c r="N317" s="4" t="s">
        <v>29</v>
      </c>
      <c r="O317" s="4" t="s">
        <v>54</v>
      </c>
      <c r="P317" s="4" t="s">
        <v>24</v>
      </c>
    </row>
    <row r="318" spans="1:16" x14ac:dyDescent="0.3">
      <c r="A318" s="2">
        <v>251</v>
      </c>
      <c r="B318" s="3">
        <v>43401</v>
      </c>
      <c r="C318" s="4" t="s">
        <v>33</v>
      </c>
      <c r="D318" s="4" t="s">
        <v>34</v>
      </c>
      <c r="E318" s="4" t="s">
        <v>27</v>
      </c>
      <c r="F318" s="2">
        <v>51</v>
      </c>
      <c r="G318" s="5">
        <v>7013</v>
      </c>
      <c r="H318" s="2">
        <v>7</v>
      </c>
      <c r="I318" s="2">
        <v>5</v>
      </c>
      <c r="J318" s="4" t="s">
        <v>35</v>
      </c>
      <c r="K318" s="4" t="s">
        <v>36</v>
      </c>
      <c r="L318" s="4" t="s">
        <v>21</v>
      </c>
      <c r="M318" s="5">
        <v>84156</v>
      </c>
      <c r="N318" s="4" t="s">
        <v>29</v>
      </c>
      <c r="O318" s="4" t="s">
        <v>54</v>
      </c>
      <c r="P318" s="4" t="s">
        <v>52</v>
      </c>
    </row>
    <row r="319" spans="1:16" x14ac:dyDescent="0.3">
      <c r="A319" s="2">
        <v>253</v>
      </c>
      <c r="B319" s="3">
        <v>40426</v>
      </c>
      <c r="C319" s="4" t="s">
        <v>44</v>
      </c>
      <c r="D319" s="4" t="s">
        <v>50</v>
      </c>
      <c r="E319" s="4" t="s">
        <v>18</v>
      </c>
      <c r="F319" s="2">
        <v>52</v>
      </c>
      <c r="G319" s="5">
        <v>4280</v>
      </c>
      <c r="H319" s="2">
        <v>5</v>
      </c>
      <c r="I319" s="2">
        <v>3</v>
      </c>
      <c r="J319" s="4" t="s">
        <v>19</v>
      </c>
      <c r="K319" s="4" t="s">
        <v>36</v>
      </c>
      <c r="L319" s="4" t="s">
        <v>43</v>
      </c>
      <c r="M319" s="5">
        <v>51360</v>
      </c>
      <c r="N319" s="4" t="s">
        <v>29</v>
      </c>
      <c r="O319" s="4" t="s">
        <v>54</v>
      </c>
      <c r="P319" s="4" t="s">
        <v>53</v>
      </c>
    </row>
    <row r="320" spans="1:16" x14ac:dyDescent="0.3">
      <c r="A320" s="2">
        <v>255</v>
      </c>
      <c r="B320" s="3">
        <v>43374</v>
      </c>
      <c r="C320" s="4" t="s">
        <v>33</v>
      </c>
      <c r="D320" s="4" t="s">
        <v>34</v>
      </c>
      <c r="E320" s="4" t="s">
        <v>27</v>
      </c>
      <c r="F320" s="2">
        <v>51</v>
      </c>
      <c r="G320" s="5">
        <v>5339</v>
      </c>
      <c r="H320" s="2">
        <v>7</v>
      </c>
      <c r="I320" s="2">
        <v>2</v>
      </c>
      <c r="J320" s="4" t="s">
        <v>19</v>
      </c>
      <c r="K320" s="4" t="s">
        <v>20</v>
      </c>
      <c r="L320" s="4" t="s">
        <v>21</v>
      </c>
      <c r="M320" s="5">
        <v>64068</v>
      </c>
      <c r="N320" s="4" t="s">
        <v>29</v>
      </c>
      <c r="O320" s="4" t="s">
        <v>54</v>
      </c>
      <c r="P320" s="4" t="s">
        <v>24</v>
      </c>
    </row>
    <row r="321" spans="1:16" x14ac:dyDescent="0.3">
      <c r="A321" s="2">
        <v>256</v>
      </c>
      <c r="B321" s="3">
        <v>42285</v>
      </c>
      <c r="C321" s="4" t="s">
        <v>33</v>
      </c>
      <c r="D321" s="4" t="s">
        <v>49</v>
      </c>
      <c r="E321" s="4" t="s">
        <v>27</v>
      </c>
      <c r="F321" s="2">
        <v>43</v>
      </c>
      <c r="G321" s="5">
        <v>11145</v>
      </c>
      <c r="H321" s="2">
        <v>3</v>
      </c>
      <c r="I321" s="2">
        <v>2</v>
      </c>
      <c r="J321" s="4" t="s">
        <v>35</v>
      </c>
      <c r="K321" s="4" t="s">
        <v>36</v>
      </c>
      <c r="L321" s="4" t="s">
        <v>31</v>
      </c>
      <c r="M321" s="5">
        <v>133740</v>
      </c>
      <c r="N321" s="4" t="s">
        <v>22</v>
      </c>
      <c r="O321" s="4" t="s">
        <v>54</v>
      </c>
      <c r="P321" s="4" t="s">
        <v>24</v>
      </c>
    </row>
    <row r="322" spans="1:16" x14ac:dyDescent="0.3">
      <c r="A322" s="2">
        <v>258</v>
      </c>
      <c r="B322" s="3">
        <v>41471</v>
      </c>
      <c r="C322" s="4" t="s">
        <v>25</v>
      </c>
      <c r="D322" s="4" t="s">
        <v>26</v>
      </c>
      <c r="E322" s="4" t="s">
        <v>18</v>
      </c>
      <c r="F322" s="2">
        <v>40</v>
      </c>
      <c r="G322" s="5">
        <v>6978</v>
      </c>
      <c r="H322" s="2">
        <v>6</v>
      </c>
      <c r="I322" s="2">
        <v>1</v>
      </c>
      <c r="J322" s="4" t="s">
        <v>19</v>
      </c>
      <c r="K322" s="4" t="s">
        <v>28</v>
      </c>
      <c r="L322" s="4" t="s">
        <v>39</v>
      </c>
      <c r="M322" s="5">
        <v>83736</v>
      </c>
      <c r="N322" s="4" t="s">
        <v>22</v>
      </c>
      <c r="O322" s="4" t="s">
        <v>54</v>
      </c>
      <c r="P322" s="4" t="s">
        <v>24</v>
      </c>
    </row>
    <row r="323" spans="1:16" x14ac:dyDescent="0.3">
      <c r="A323" s="2">
        <v>262</v>
      </c>
      <c r="B323" s="3">
        <v>44315</v>
      </c>
      <c r="C323" s="4" t="s">
        <v>33</v>
      </c>
      <c r="D323" s="4" t="s">
        <v>49</v>
      </c>
      <c r="E323" s="4" t="s">
        <v>27</v>
      </c>
      <c r="F323" s="2">
        <v>32</v>
      </c>
      <c r="G323" s="5">
        <v>11633</v>
      </c>
      <c r="H323" s="2">
        <v>7</v>
      </c>
      <c r="I323" s="2">
        <v>1</v>
      </c>
      <c r="J323" s="4" t="s">
        <v>35</v>
      </c>
      <c r="K323" s="4" t="s">
        <v>36</v>
      </c>
      <c r="L323" s="4" t="s">
        <v>31</v>
      </c>
      <c r="M323" s="5">
        <v>139596</v>
      </c>
      <c r="N323" s="4" t="s">
        <v>22</v>
      </c>
      <c r="O323" s="4" t="s">
        <v>54</v>
      </c>
      <c r="P323" s="4" t="s">
        <v>24</v>
      </c>
    </row>
    <row r="324" spans="1:16" x14ac:dyDescent="0.3">
      <c r="A324" s="2">
        <v>270</v>
      </c>
      <c r="B324" s="3">
        <v>42068</v>
      </c>
      <c r="C324" s="4" t="s">
        <v>44</v>
      </c>
      <c r="D324" s="4" t="s">
        <v>50</v>
      </c>
      <c r="E324" s="4" t="s">
        <v>18</v>
      </c>
      <c r="F324" s="2">
        <v>29</v>
      </c>
      <c r="G324" s="5">
        <v>16381</v>
      </c>
      <c r="H324" s="2">
        <v>7</v>
      </c>
      <c r="I324" s="2">
        <v>3</v>
      </c>
      <c r="J324" s="4" t="s">
        <v>35</v>
      </c>
      <c r="K324" s="4" t="s">
        <v>36</v>
      </c>
      <c r="L324" s="4" t="s">
        <v>39</v>
      </c>
      <c r="M324" s="5">
        <v>196572</v>
      </c>
      <c r="N324" s="4" t="s">
        <v>32</v>
      </c>
      <c r="O324" s="4" t="s">
        <v>54</v>
      </c>
      <c r="P324" s="4" t="s">
        <v>53</v>
      </c>
    </row>
    <row r="325" spans="1:16" x14ac:dyDescent="0.3">
      <c r="A325" s="2">
        <v>273</v>
      </c>
      <c r="B325" s="3">
        <v>41977</v>
      </c>
      <c r="C325" s="4" t="s">
        <v>37</v>
      </c>
      <c r="D325" s="4" t="s">
        <v>41</v>
      </c>
      <c r="E325" s="4" t="s">
        <v>27</v>
      </c>
      <c r="F325" s="2">
        <v>38</v>
      </c>
      <c r="G325" s="5">
        <v>11299</v>
      </c>
      <c r="H325" s="2">
        <v>5</v>
      </c>
      <c r="I325" s="2">
        <v>4</v>
      </c>
      <c r="J325" s="4" t="s">
        <v>19</v>
      </c>
      <c r="K325" s="4" t="s">
        <v>36</v>
      </c>
      <c r="L325" s="4" t="s">
        <v>39</v>
      </c>
      <c r="M325" s="5">
        <v>135588</v>
      </c>
      <c r="N325" s="4" t="s">
        <v>22</v>
      </c>
      <c r="O325" s="4" t="s">
        <v>54</v>
      </c>
      <c r="P325" s="4" t="s">
        <v>52</v>
      </c>
    </row>
    <row r="326" spans="1:16" x14ac:dyDescent="0.3">
      <c r="A326" s="2">
        <v>274</v>
      </c>
      <c r="B326" s="3">
        <v>40601</v>
      </c>
      <c r="C326" s="4" t="s">
        <v>33</v>
      </c>
      <c r="D326" s="4" t="s">
        <v>34</v>
      </c>
      <c r="E326" s="4" t="s">
        <v>27</v>
      </c>
      <c r="F326" s="2">
        <v>32</v>
      </c>
      <c r="G326" s="5">
        <v>4140</v>
      </c>
      <c r="H326" s="2">
        <v>5</v>
      </c>
      <c r="I326" s="2">
        <v>5</v>
      </c>
      <c r="J326" s="4" t="s">
        <v>19</v>
      </c>
      <c r="K326" s="4" t="s">
        <v>20</v>
      </c>
      <c r="L326" s="4" t="s">
        <v>39</v>
      </c>
      <c r="M326" s="5">
        <v>49680</v>
      </c>
      <c r="N326" s="4" t="s">
        <v>22</v>
      </c>
      <c r="O326" s="4" t="s">
        <v>54</v>
      </c>
      <c r="P326" s="4" t="s">
        <v>52</v>
      </c>
    </row>
    <row r="327" spans="1:16" x14ac:dyDescent="0.3">
      <c r="A327" s="2">
        <v>286</v>
      </c>
      <c r="B327" s="3">
        <v>42440</v>
      </c>
      <c r="C327" s="4" t="s">
        <v>37</v>
      </c>
      <c r="D327" s="4" t="s">
        <v>41</v>
      </c>
      <c r="E327" s="4" t="s">
        <v>18</v>
      </c>
      <c r="F327" s="2">
        <v>23</v>
      </c>
      <c r="G327" s="5">
        <v>14807</v>
      </c>
      <c r="H327" s="2">
        <v>3</v>
      </c>
      <c r="I327" s="2">
        <v>5</v>
      </c>
      <c r="J327" s="4" t="s">
        <v>19</v>
      </c>
      <c r="K327" s="4" t="s">
        <v>28</v>
      </c>
      <c r="L327" s="4" t="s">
        <v>31</v>
      </c>
      <c r="M327" s="5">
        <v>177684</v>
      </c>
      <c r="N327" s="4" t="s">
        <v>32</v>
      </c>
      <c r="O327" s="4" t="s">
        <v>54</v>
      </c>
      <c r="P327" s="4" t="s">
        <v>52</v>
      </c>
    </row>
    <row r="328" spans="1:16" x14ac:dyDescent="0.3">
      <c r="A328" s="2">
        <v>287</v>
      </c>
      <c r="B328" s="3">
        <v>44687</v>
      </c>
      <c r="C328" s="4" t="s">
        <v>44</v>
      </c>
      <c r="D328" s="4" t="s">
        <v>50</v>
      </c>
      <c r="E328" s="4" t="s">
        <v>27</v>
      </c>
      <c r="F328" s="2">
        <v>30</v>
      </c>
      <c r="G328" s="5">
        <v>16045</v>
      </c>
      <c r="H328" s="2">
        <v>5</v>
      </c>
      <c r="I328" s="2">
        <v>5</v>
      </c>
      <c r="J328" s="4" t="s">
        <v>19</v>
      </c>
      <c r="K328" s="4" t="s">
        <v>36</v>
      </c>
      <c r="L328" s="4" t="s">
        <v>31</v>
      </c>
      <c r="M328" s="5">
        <v>192540</v>
      </c>
      <c r="N328" s="4" t="s">
        <v>22</v>
      </c>
      <c r="O328" s="4" t="s">
        <v>54</v>
      </c>
      <c r="P328" s="4" t="s">
        <v>52</v>
      </c>
    </row>
    <row r="329" spans="1:16" x14ac:dyDescent="0.3">
      <c r="A329" s="2">
        <v>288</v>
      </c>
      <c r="B329" s="3">
        <v>42257</v>
      </c>
      <c r="C329" s="4" t="s">
        <v>33</v>
      </c>
      <c r="D329" s="4" t="s">
        <v>34</v>
      </c>
      <c r="E329" s="4" t="s">
        <v>18</v>
      </c>
      <c r="F329" s="2">
        <v>47</v>
      </c>
      <c r="G329" s="5">
        <v>19304</v>
      </c>
      <c r="H329" s="2">
        <v>6</v>
      </c>
      <c r="I329" s="2">
        <v>4</v>
      </c>
      <c r="J329" s="4" t="s">
        <v>19</v>
      </c>
      <c r="K329" s="4" t="s">
        <v>36</v>
      </c>
      <c r="L329" s="4" t="s">
        <v>43</v>
      </c>
      <c r="M329" s="5">
        <v>231648</v>
      </c>
      <c r="N329" s="4" t="s">
        <v>29</v>
      </c>
      <c r="O329" s="4" t="s">
        <v>54</v>
      </c>
      <c r="P329" s="4" t="s">
        <v>52</v>
      </c>
    </row>
    <row r="330" spans="1:16" x14ac:dyDescent="0.3">
      <c r="A330" s="2">
        <v>289</v>
      </c>
      <c r="B330" s="3">
        <v>44052</v>
      </c>
      <c r="C330" s="4" t="s">
        <v>44</v>
      </c>
      <c r="D330" s="4" t="s">
        <v>50</v>
      </c>
      <c r="E330" s="4" t="s">
        <v>18</v>
      </c>
      <c r="F330" s="2">
        <v>56</v>
      </c>
      <c r="G330" s="5">
        <v>8084</v>
      </c>
      <c r="H330" s="2">
        <v>4</v>
      </c>
      <c r="I330" s="2">
        <v>2</v>
      </c>
      <c r="J330" s="4" t="s">
        <v>35</v>
      </c>
      <c r="K330" s="4" t="s">
        <v>28</v>
      </c>
      <c r="L330" s="4" t="s">
        <v>39</v>
      </c>
      <c r="M330" s="5">
        <v>97008</v>
      </c>
      <c r="N330" s="4" t="s">
        <v>29</v>
      </c>
      <c r="O330" s="4" t="s">
        <v>54</v>
      </c>
      <c r="P330" s="4" t="s">
        <v>24</v>
      </c>
    </row>
    <row r="331" spans="1:16" x14ac:dyDescent="0.3">
      <c r="A331" s="2">
        <v>291</v>
      </c>
      <c r="B331" s="3">
        <v>40914</v>
      </c>
      <c r="C331" s="4" t="s">
        <v>46</v>
      </c>
      <c r="D331" s="4" t="s">
        <v>51</v>
      </c>
      <c r="E331" s="4" t="s">
        <v>18</v>
      </c>
      <c r="F331" s="2">
        <v>45</v>
      </c>
      <c r="G331" s="5">
        <v>5798</v>
      </c>
      <c r="H331" s="2">
        <v>6</v>
      </c>
      <c r="I331" s="2">
        <v>1</v>
      </c>
      <c r="J331" s="4" t="s">
        <v>19</v>
      </c>
      <c r="K331" s="4" t="s">
        <v>36</v>
      </c>
      <c r="L331" s="4" t="s">
        <v>31</v>
      </c>
      <c r="M331" s="5">
        <v>69576</v>
      </c>
      <c r="N331" s="4" t="s">
        <v>22</v>
      </c>
      <c r="O331" s="4" t="s">
        <v>54</v>
      </c>
      <c r="P331" s="4" t="s">
        <v>24</v>
      </c>
    </row>
    <row r="332" spans="1:16" x14ac:dyDescent="0.3">
      <c r="A332" s="2">
        <v>292</v>
      </c>
      <c r="B332" s="3">
        <v>41984</v>
      </c>
      <c r="C332" s="4" t="s">
        <v>44</v>
      </c>
      <c r="D332" s="4" t="s">
        <v>50</v>
      </c>
      <c r="E332" s="4" t="s">
        <v>27</v>
      </c>
      <c r="F332" s="2">
        <v>41</v>
      </c>
      <c r="G332" s="5">
        <v>13111</v>
      </c>
      <c r="H332" s="2">
        <v>5</v>
      </c>
      <c r="I332" s="2">
        <v>1</v>
      </c>
      <c r="J332" s="4" t="s">
        <v>35</v>
      </c>
      <c r="K332" s="4" t="s">
        <v>36</v>
      </c>
      <c r="L332" s="4" t="s">
        <v>31</v>
      </c>
      <c r="M332" s="5">
        <v>157332</v>
      </c>
      <c r="N332" s="4" t="s">
        <v>22</v>
      </c>
      <c r="O332" s="4" t="s">
        <v>54</v>
      </c>
      <c r="P332" s="4" t="s">
        <v>24</v>
      </c>
    </row>
    <row r="333" spans="1:16" x14ac:dyDescent="0.3">
      <c r="A333" s="2">
        <v>295</v>
      </c>
      <c r="B333" s="3">
        <v>41773</v>
      </c>
      <c r="C333" s="4" t="s">
        <v>46</v>
      </c>
      <c r="D333" s="4" t="s">
        <v>47</v>
      </c>
      <c r="E333" s="4" t="s">
        <v>27</v>
      </c>
      <c r="F333" s="2">
        <v>59</v>
      </c>
      <c r="G333" s="5">
        <v>5060</v>
      </c>
      <c r="H333" s="2">
        <v>5</v>
      </c>
      <c r="I333" s="2">
        <v>2</v>
      </c>
      <c r="J333" s="4" t="s">
        <v>35</v>
      </c>
      <c r="K333" s="4" t="s">
        <v>20</v>
      </c>
      <c r="L333" s="4" t="s">
        <v>43</v>
      </c>
      <c r="M333" s="5">
        <v>60720</v>
      </c>
      <c r="N333" s="4" t="s">
        <v>29</v>
      </c>
      <c r="O333" s="4" t="s">
        <v>54</v>
      </c>
      <c r="P333" s="4" t="s">
        <v>24</v>
      </c>
    </row>
    <row r="334" spans="1:16" x14ac:dyDescent="0.3">
      <c r="A334" s="2">
        <v>296</v>
      </c>
      <c r="B334" s="3">
        <v>41211</v>
      </c>
      <c r="C334" s="4" t="s">
        <v>46</v>
      </c>
      <c r="D334" s="4" t="s">
        <v>51</v>
      </c>
      <c r="E334" s="4" t="s">
        <v>27</v>
      </c>
      <c r="F334" s="2">
        <v>53</v>
      </c>
      <c r="G334" s="5">
        <v>18713</v>
      </c>
      <c r="H334" s="2">
        <v>4</v>
      </c>
      <c r="I334" s="2">
        <v>4</v>
      </c>
      <c r="J334" s="4" t="s">
        <v>35</v>
      </c>
      <c r="K334" s="4" t="s">
        <v>28</v>
      </c>
      <c r="L334" s="4" t="s">
        <v>43</v>
      </c>
      <c r="M334" s="5">
        <v>224556</v>
      </c>
      <c r="N334" s="4" t="s">
        <v>29</v>
      </c>
      <c r="O334" s="4" t="s">
        <v>54</v>
      </c>
      <c r="P334" s="4" t="s">
        <v>52</v>
      </c>
    </row>
    <row r="335" spans="1:16" x14ac:dyDescent="0.3">
      <c r="A335" s="2">
        <v>299</v>
      </c>
      <c r="B335" s="3">
        <v>44981</v>
      </c>
      <c r="C335" s="4" t="s">
        <v>44</v>
      </c>
      <c r="D335" s="4" t="s">
        <v>45</v>
      </c>
      <c r="E335" s="4" t="s">
        <v>27</v>
      </c>
      <c r="F335" s="2">
        <v>33</v>
      </c>
      <c r="G335" s="5">
        <v>7785</v>
      </c>
      <c r="H335" s="2">
        <v>5</v>
      </c>
      <c r="I335" s="2">
        <v>1</v>
      </c>
      <c r="J335" s="4" t="s">
        <v>35</v>
      </c>
      <c r="K335" s="4" t="s">
        <v>36</v>
      </c>
      <c r="L335" s="4" t="s">
        <v>43</v>
      </c>
      <c r="M335" s="5">
        <v>93420</v>
      </c>
      <c r="N335" s="4" t="s">
        <v>22</v>
      </c>
      <c r="O335" s="4" t="s">
        <v>54</v>
      </c>
      <c r="P335" s="4" t="s">
        <v>24</v>
      </c>
    </row>
    <row r="336" spans="1:16" x14ac:dyDescent="0.3">
      <c r="A336" s="2">
        <v>300</v>
      </c>
      <c r="B336" s="3">
        <v>44541</v>
      </c>
      <c r="C336" s="4" t="s">
        <v>37</v>
      </c>
      <c r="D336" s="4" t="s">
        <v>38</v>
      </c>
      <c r="E336" s="4" t="s">
        <v>27</v>
      </c>
      <c r="F336" s="2">
        <v>42</v>
      </c>
      <c r="G336" s="5">
        <v>15916</v>
      </c>
      <c r="H336" s="2">
        <v>3</v>
      </c>
      <c r="I336" s="2">
        <v>2</v>
      </c>
      <c r="J336" s="4" t="s">
        <v>35</v>
      </c>
      <c r="K336" s="4" t="s">
        <v>20</v>
      </c>
      <c r="L336" s="4" t="s">
        <v>43</v>
      </c>
      <c r="M336" s="5">
        <v>190992</v>
      </c>
      <c r="N336" s="4" t="s">
        <v>22</v>
      </c>
      <c r="O336" s="4" t="s">
        <v>54</v>
      </c>
      <c r="P336" s="4" t="s">
        <v>24</v>
      </c>
    </row>
    <row r="337" spans="1:16" x14ac:dyDescent="0.3">
      <c r="A337" s="2">
        <v>301</v>
      </c>
      <c r="B337" s="3">
        <v>40496</v>
      </c>
      <c r="C337" s="4" t="s">
        <v>37</v>
      </c>
      <c r="D337" s="4" t="s">
        <v>41</v>
      </c>
      <c r="E337" s="4" t="s">
        <v>27</v>
      </c>
      <c r="F337" s="2">
        <v>60</v>
      </c>
      <c r="G337" s="5">
        <v>10156</v>
      </c>
      <c r="H337" s="2">
        <v>3</v>
      </c>
      <c r="I337" s="2">
        <v>2</v>
      </c>
      <c r="J337" s="4" t="s">
        <v>35</v>
      </c>
      <c r="K337" s="4" t="s">
        <v>20</v>
      </c>
      <c r="L337" s="4" t="s">
        <v>39</v>
      </c>
      <c r="M337" s="5">
        <v>121872</v>
      </c>
      <c r="N337" s="4" t="s">
        <v>29</v>
      </c>
      <c r="O337" s="4" t="s">
        <v>54</v>
      </c>
      <c r="P337" s="4" t="s">
        <v>24</v>
      </c>
    </row>
    <row r="338" spans="1:16" x14ac:dyDescent="0.3">
      <c r="A338" s="2">
        <v>303</v>
      </c>
      <c r="B338" s="3">
        <v>43623</v>
      </c>
      <c r="C338" s="4" t="s">
        <v>16</v>
      </c>
      <c r="D338" s="4" t="s">
        <v>17</v>
      </c>
      <c r="E338" s="4" t="s">
        <v>18</v>
      </c>
      <c r="F338" s="2">
        <v>35</v>
      </c>
      <c r="G338" s="5">
        <v>15846</v>
      </c>
      <c r="H338" s="2">
        <v>6</v>
      </c>
      <c r="I338" s="2">
        <v>4</v>
      </c>
      <c r="J338" s="4" t="s">
        <v>35</v>
      </c>
      <c r="K338" s="4" t="s">
        <v>20</v>
      </c>
      <c r="L338" s="4" t="s">
        <v>31</v>
      </c>
      <c r="M338" s="5">
        <v>190152</v>
      </c>
      <c r="N338" s="4" t="s">
        <v>22</v>
      </c>
      <c r="O338" s="4" t="s">
        <v>54</v>
      </c>
      <c r="P338" s="4" t="s">
        <v>52</v>
      </c>
    </row>
    <row r="339" spans="1:16" x14ac:dyDescent="0.3">
      <c r="A339" s="2">
        <v>306</v>
      </c>
      <c r="B339" s="3">
        <v>44110</v>
      </c>
      <c r="C339" s="4" t="s">
        <v>25</v>
      </c>
      <c r="D339" s="4" t="s">
        <v>30</v>
      </c>
      <c r="E339" s="4" t="s">
        <v>27</v>
      </c>
      <c r="F339" s="2">
        <v>23</v>
      </c>
      <c r="G339" s="5">
        <v>9673</v>
      </c>
      <c r="H339" s="2">
        <v>7</v>
      </c>
      <c r="I339" s="2">
        <v>5</v>
      </c>
      <c r="J339" s="4" t="s">
        <v>35</v>
      </c>
      <c r="K339" s="4" t="s">
        <v>36</v>
      </c>
      <c r="L339" s="4" t="s">
        <v>43</v>
      </c>
      <c r="M339" s="5">
        <v>116076</v>
      </c>
      <c r="N339" s="4" t="s">
        <v>32</v>
      </c>
      <c r="O339" s="4" t="s">
        <v>54</v>
      </c>
      <c r="P339" s="4" t="s">
        <v>52</v>
      </c>
    </row>
    <row r="340" spans="1:16" x14ac:dyDescent="0.3">
      <c r="A340" s="2">
        <v>307</v>
      </c>
      <c r="B340" s="3">
        <v>44723</v>
      </c>
      <c r="C340" s="4" t="s">
        <v>25</v>
      </c>
      <c r="D340" s="4" t="s">
        <v>30</v>
      </c>
      <c r="E340" s="4" t="s">
        <v>27</v>
      </c>
      <c r="F340" s="2">
        <v>43</v>
      </c>
      <c r="G340" s="5">
        <v>17071</v>
      </c>
      <c r="H340" s="2">
        <v>3</v>
      </c>
      <c r="I340" s="2">
        <v>4</v>
      </c>
      <c r="J340" s="4" t="s">
        <v>35</v>
      </c>
      <c r="K340" s="4" t="s">
        <v>28</v>
      </c>
      <c r="L340" s="4" t="s">
        <v>43</v>
      </c>
      <c r="M340" s="5">
        <v>204852</v>
      </c>
      <c r="N340" s="4" t="s">
        <v>22</v>
      </c>
      <c r="O340" s="4" t="s">
        <v>54</v>
      </c>
      <c r="P340" s="4" t="s">
        <v>52</v>
      </c>
    </row>
    <row r="341" spans="1:16" x14ac:dyDescent="0.3">
      <c r="A341" s="2">
        <v>310</v>
      </c>
      <c r="B341" s="3">
        <v>40344</v>
      </c>
      <c r="C341" s="4" t="s">
        <v>33</v>
      </c>
      <c r="D341" s="4" t="s">
        <v>49</v>
      </c>
      <c r="E341" s="4" t="s">
        <v>18</v>
      </c>
      <c r="F341" s="2">
        <v>55</v>
      </c>
      <c r="G341" s="5">
        <v>13644</v>
      </c>
      <c r="H341" s="2">
        <v>3</v>
      </c>
      <c r="I341" s="2">
        <v>3</v>
      </c>
      <c r="J341" s="4" t="s">
        <v>35</v>
      </c>
      <c r="K341" s="4" t="s">
        <v>28</v>
      </c>
      <c r="L341" s="4" t="s">
        <v>43</v>
      </c>
      <c r="M341" s="5">
        <v>163728</v>
      </c>
      <c r="N341" s="4" t="s">
        <v>29</v>
      </c>
      <c r="O341" s="4" t="s">
        <v>54</v>
      </c>
      <c r="P341" s="4" t="s">
        <v>53</v>
      </c>
    </row>
    <row r="342" spans="1:16" x14ac:dyDescent="0.3">
      <c r="A342" s="2">
        <v>311</v>
      </c>
      <c r="B342" s="3">
        <v>42374</v>
      </c>
      <c r="C342" s="4" t="s">
        <v>25</v>
      </c>
      <c r="D342" s="4" t="s">
        <v>26</v>
      </c>
      <c r="E342" s="4" t="s">
        <v>27</v>
      </c>
      <c r="F342" s="2">
        <v>60</v>
      </c>
      <c r="G342" s="5">
        <v>13291</v>
      </c>
      <c r="H342" s="2">
        <v>6</v>
      </c>
      <c r="I342" s="2">
        <v>1</v>
      </c>
      <c r="J342" s="4" t="s">
        <v>19</v>
      </c>
      <c r="K342" s="4" t="s">
        <v>20</v>
      </c>
      <c r="L342" s="4" t="s">
        <v>21</v>
      </c>
      <c r="M342" s="5">
        <v>159492</v>
      </c>
      <c r="N342" s="4" t="s">
        <v>29</v>
      </c>
      <c r="O342" s="4" t="s">
        <v>54</v>
      </c>
      <c r="P342" s="4" t="s">
        <v>24</v>
      </c>
    </row>
    <row r="343" spans="1:16" x14ac:dyDescent="0.3">
      <c r="A343" s="2">
        <v>312</v>
      </c>
      <c r="B343" s="3">
        <v>43026</v>
      </c>
      <c r="C343" s="4" t="s">
        <v>37</v>
      </c>
      <c r="D343" s="4" t="s">
        <v>38</v>
      </c>
      <c r="E343" s="4" t="s">
        <v>18</v>
      </c>
      <c r="F343" s="2">
        <v>40</v>
      </c>
      <c r="G343" s="5">
        <v>9675</v>
      </c>
      <c r="H343" s="2">
        <v>4</v>
      </c>
      <c r="I343" s="2">
        <v>5</v>
      </c>
      <c r="J343" s="4" t="s">
        <v>35</v>
      </c>
      <c r="K343" s="4" t="s">
        <v>28</v>
      </c>
      <c r="L343" s="4" t="s">
        <v>43</v>
      </c>
      <c r="M343" s="5">
        <v>116100</v>
      </c>
      <c r="N343" s="4" t="s">
        <v>22</v>
      </c>
      <c r="O343" s="4" t="s">
        <v>54</v>
      </c>
      <c r="P343" s="4" t="s">
        <v>52</v>
      </c>
    </row>
    <row r="344" spans="1:16" x14ac:dyDescent="0.3">
      <c r="A344" s="2">
        <v>317</v>
      </c>
      <c r="B344" s="3">
        <v>43909</v>
      </c>
      <c r="C344" s="4" t="s">
        <v>33</v>
      </c>
      <c r="D344" s="4" t="s">
        <v>49</v>
      </c>
      <c r="E344" s="4" t="s">
        <v>18</v>
      </c>
      <c r="F344" s="2">
        <v>27</v>
      </c>
      <c r="G344" s="5">
        <v>12551</v>
      </c>
      <c r="H344" s="2">
        <v>7</v>
      </c>
      <c r="I344" s="2">
        <v>3</v>
      </c>
      <c r="J344" s="4" t="s">
        <v>19</v>
      </c>
      <c r="K344" s="4" t="s">
        <v>36</v>
      </c>
      <c r="L344" s="4" t="s">
        <v>39</v>
      </c>
      <c r="M344" s="5">
        <v>150612</v>
      </c>
      <c r="N344" s="4" t="s">
        <v>32</v>
      </c>
      <c r="O344" s="4" t="s">
        <v>54</v>
      </c>
      <c r="P344" s="4" t="s">
        <v>53</v>
      </c>
    </row>
    <row r="345" spans="1:16" x14ac:dyDescent="0.3">
      <c r="A345" s="2">
        <v>321</v>
      </c>
      <c r="B345" s="3">
        <v>44204</v>
      </c>
      <c r="C345" s="4" t="s">
        <v>37</v>
      </c>
      <c r="D345" s="4" t="s">
        <v>41</v>
      </c>
      <c r="E345" s="4" t="s">
        <v>27</v>
      </c>
      <c r="F345" s="2">
        <v>39</v>
      </c>
      <c r="G345" s="5">
        <v>8963</v>
      </c>
      <c r="H345" s="2">
        <v>3</v>
      </c>
      <c r="I345" s="2">
        <v>2</v>
      </c>
      <c r="J345" s="4" t="s">
        <v>35</v>
      </c>
      <c r="K345" s="4" t="s">
        <v>36</v>
      </c>
      <c r="L345" s="4" t="s">
        <v>43</v>
      </c>
      <c r="M345" s="5">
        <v>107556</v>
      </c>
      <c r="N345" s="4" t="s">
        <v>22</v>
      </c>
      <c r="O345" s="4" t="s">
        <v>54</v>
      </c>
      <c r="P345" s="4" t="s">
        <v>24</v>
      </c>
    </row>
    <row r="346" spans="1:16" x14ac:dyDescent="0.3">
      <c r="A346" s="2">
        <v>324</v>
      </c>
      <c r="B346" s="3">
        <v>42136</v>
      </c>
      <c r="C346" s="4" t="s">
        <v>44</v>
      </c>
      <c r="D346" s="4" t="s">
        <v>50</v>
      </c>
      <c r="E346" s="4" t="s">
        <v>27</v>
      </c>
      <c r="F346" s="2">
        <v>46</v>
      </c>
      <c r="G346" s="5">
        <v>15458</v>
      </c>
      <c r="H346" s="2">
        <v>5</v>
      </c>
      <c r="I346" s="2">
        <v>2</v>
      </c>
      <c r="J346" s="4" t="s">
        <v>19</v>
      </c>
      <c r="K346" s="4" t="s">
        <v>28</v>
      </c>
      <c r="L346" s="4" t="s">
        <v>21</v>
      </c>
      <c r="M346" s="5">
        <v>185496</v>
      </c>
      <c r="N346" s="4" t="s">
        <v>29</v>
      </c>
      <c r="O346" s="4" t="s">
        <v>54</v>
      </c>
      <c r="P346" s="4" t="s">
        <v>24</v>
      </c>
    </row>
    <row r="347" spans="1:16" x14ac:dyDescent="0.3">
      <c r="A347" s="2">
        <v>325</v>
      </c>
      <c r="B347" s="3">
        <v>43229</v>
      </c>
      <c r="C347" s="4" t="s">
        <v>33</v>
      </c>
      <c r="D347" s="4" t="s">
        <v>49</v>
      </c>
      <c r="E347" s="4" t="s">
        <v>27</v>
      </c>
      <c r="F347" s="2">
        <v>28</v>
      </c>
      <c r="G347" s="5">
        <v>17050</v>
      </c>
      <c r="H347" s="2">
        <v>7</v>
      </c>
      <c r="I347" s="2">
        <v>3</v>
      </c>
      <c r="J347" s="4" t="s">
        <v>19</v>
      </c>
      <c r="K347" s="4" t="s">
        <v>20</v>
      </c>
      <c r="L347" s="4" t="s">
        <v>21</v>
      </c>
      <c r="M347" s="5">
        <v>204600</v>
      </c>
      <c r="N347" s="4" t="s">
        <v>32</v>
      </c>
      <c r="O347" s="4" t="s">
        <v>54</v>
      </c>
      <c r="P347" s="4" t="s">
        <v>53</v>
      </c>
    </row>
    <row r="348" spans="1:16" x14ac:dyDescent="0.3">
      <c r="A348" s="2">
        <v>326</v>
      </c>
      <c r="B348" s="3">
        <v>41648</v>
      </c>
      <c r="C348" s="4" t="s">
        <v>44</v>
      </c>
      <c r="D348" s="4" t="s">
        <v>45</v>
      </c>
      <c r="E348" s="4" t="s">
        <v>27</v>
      </c>
      <c r="F348" s="2">
        <v>49</v>
      </c>
      <c r="G348" s="5">
        <v>7047</v>
      </c>
      <c r="H348" s="2">
        <v>6</v>
      </c>
      <c r="I348" s="2">
        <v>5</v>
      </c>
      <c r="J348" s="4" t="s">
        <v>35</v>
      </c>
      <c r="K348" s="4" t="s">
        <v>28</v>
      </c>
      <c r="L348" s="4" t="s">
        <v>31</v>
      </c>
      <c r="M348" s="5">
        <v>84564</v>
      </c>
      <c r="N348" s="4" t="s">
        <v>29</v>
      </c>
      <c r="O348" s="4" t="s">
        <v>54</v>
      </c>
      <c r="P348" s="4" t="s">
        <v>52</v>
      </c>
    </row>
    <row r="349" spans="1:16" x14ac:dyDescent="0.3">
      <c r="A349" s="2">
        <v>331</v>
      </c>
      <c r="B349" s="3">
        <v>41952</v>
      </c>
      <c r="C349" s="4" t="s">
        <v>44</v>
      </c>
      <c r="D349" s="4" t="s">
        <v>45</v>
      </c>
      <c r="E349" s="4" t="s">
        <v>27</v>
      </c>
      <c r="F349" s="2">
        <v>40</v>
      </c>
      <c r="G349" s="5">
        <v>7374</v>
      </c>
      <c r="H349" s="2">
        <v>5</v>
      </c>
      <c r="I349" s="2">
        <v>4</v>
      </c>
      <c r="J349" s="4" t="s">
        <v>35</v>
      </c>
      <c r="K349" s="4" t="s">
        <v>20</v>
      </c>
      <c r="L349" s="4" t="s">
        <v>21</v>
      </c>
      <c r="M349" s="5">
        <v>88488</v>
      </c>
      <c r="N349" s="4" t="s">
        <v>22</v>
      </c>
      <c r="O349" s="4" t="s">
        <v>54</v>
      </c>
      <c r="P349" s="4" t="s">
        <v>52</v>
      </c>
    </row>
    <row r="350" spans="1:16" x14ac:dyDescent="0.3">
      <c r="A350" s="2">
        <v>332</v>
      </c>
      <c r="B350" s="3">
        <v>41398</v>
      </c>
      <c r="C350" s="4" t="s">
        <v>25</v>
      </c>
      <c r="D350" s="4" t="s">
        <v>26</v>
      </c>
      <c r="E350" s="4" t="s">
        <v>27</v>
      </c>
      <c r="F350" s="2">
        <v>52</v>
      </c>
      <c r="G350" s="5">
        <v>12475</v>
      </c>
      <c r="H350" s="2">
        <v>7</v>
      </c>
      <c r="I350" s="2">
        <v>2</v>
      </c>
      <c r="J350" s="4" t="s">
        <v>19</v>
      </c>
      <c r="K350" s="4" t="s">
        <v>28</v>
      </c>
      <c r="L350" s="4" t="s">
        <v>43</v>
      </c>
      <c r="M350" s="5">
        <v>149700</v>
      </c>
      <c r="N350" s="4" t="s">
        <v>29</v>
      </c>
      <c r="O350" s="4" t="s">
        <v>54</v>
      </c>
      <c r="P350" s="4" t="s">
        <v>24</v>
      </c>
    </row>
    <row r="351" spans="1:16" x14ac:dyDescent="0.3">
      <c r="A351" s="2">
        <v>340</v>
      </c>
      <c r="B351" s="3">
        <v>43658</v>
      </c>
      <c r="C351" s="4" t="s">
        <v>37</v>
      </c>
      <c r="D351" s="4" t="s">
        <v>41</v>
      </c>
      <c r="E351" s="4" t="s">
        <v>18</v>
      </c>
      <c r="F351" s="2">
        <v>38</v>
      </c>
      <c r="G351" s="5">
        <v>15552</v>
      </c>
      <c r="H351" s="2">
        <v>3</v>
      </c>
      <c r="I351" s="2">
        <v>1</v>
      </c>
      <c r="J351" s="4" t="s">
        <v>19</v>
      </c>
      <c r="K351" s="4" t="s">
        <v>20</v>
      </c>
      <c r="L351" s="4" t="s">
        <v>21</v>
      </c>
      <c r="M351" s="5">
        <v>186624</v>
      </c>
      <c r="N351" s="4" t="s">
        <v>22</v>
      </c>
      <c r="O351" s="4" t="s">
        <v>54</v>
      </c>
      <c r="P351" s="4" t="s">
        <v>24</v>
      </c>
    </row>
    <row r="352" spans="1:16" x14ac:dyDescent="0.3">
      <c r="A352" s="2">
        <v>341</v>
      </c>
      <c r="B352" s="3">
        <v>42356</v>
      </c>
      <c r="C352" s="4" t="s">
        <v>16</v>
      </c>
      <c r="D352" s="4" t="s">
        <v>17</v>
      </c>
      <c r="E352" s="4" t="s">
        <v>18</v>
      </c>
      <c r="F352" s="2">
        <v>26</v>
      </c>
      <c r="G352" s="5">
        <v>11851</v>
      </c>
      <c r="H352" s="2">
        <v>7</v>
      </c>
      <c r="I352" s="2">
        <v>1</v>
      </c>
      <c r="J352" s="4" t="s">
        <v>19</v>
      </c>
      <c r="K352" s="4" t="s">
        <v>36</v>
      </c>
      <c r="L352" s="4" t="s">
        <v>39</v>
      </c>
      <c r="M352" s="5">
        <v>142212</v>
      </c>
      <c r="N352" s="4" t="s">
        <v>32</v>
      </c>
      <c r="O352" s="4" t="s">
        <v>54</v>
      </c>
      <c r="P352" s="4" t="s">
        <v>24</v>
      </c>
    </row>
    <row r="353" spans="1:16" x14ac:dyDescent="0.3">
      <c r="A353" s="2">
        <v>345</v>
      </c>
      <c r="B353" s="3">
        <v>41535</v>
      </c>
      <c r="C353" s="4" t="s">
        <v>16</v>
      </c>
      <c r="D353" s="4" t="s">
        <v>40</v>
      </c>
      <c r="E353" s="4" t="s">
        <v>18</v>
      </c>
      <c r="F353" s="2">
        <v>40</v>
      </c>
      <c r="G353" s="5">
        <v>8911</v>
      </c>
      <c r="H353" s="2">
        <v>6</v>
      </c>
      <c r="I353" s="2">
        <v>1</v>
      </c>
      <c r="J353" s="4" t="s">
        <v>35</v>
      </c>
      <c r="K353" s="4" t="s">
        <v>36</v>
      </c>
      <c r="L353" s="4" t="s">
        <v>43</v>
      </c>
      <c r="M353" s="5">
        <v>106932</v>
      </c>
      <c r="N353" s="4" t="s">
        <v>22</v>
      </c>
      <c r="O353" s="4" t="s">
        <v>54</v>
      </c>
      <c r="P353" s="4" t="s">
        <v>24</v>
      </c>
    </row>
    <row r="354" spans="1:16" x14ac:dyDescent="0.3">
      <c r="A354" s="2">
        <v>348</v>
      </c>
      <c r="B354" s="3">
        <v>42092</v>
      </c>
      <c r="C354" s="4" t="s">
        <v>25</v>
      </c>
      <c r="D354" s="4" t="s">
        <v>26</v>
      </c>
      <c r="E354" s="4" t="s">
        <v>18</v>
      </c>
      <c r="F354" s="2">
        <v>23</v>
      </c>
      <c r="G354" s="5">
        <v>11451</v>
      </c>
      <c r="H354" s="2">
        <v>7</v>
      </c>
      <c r="I354" s="2">
        <v>4</v>
      </c>
      <c r="J354" s="4" t="s">
        <v>19</v>
      </c>
      <c r="K354" s="4" t="s">
        <v>36</v>
      </c>
      <c r="L354" s="4" t="s">
        <v>31</v>
      </c>
      <c r="M354" s="5">
        <v>137412</v>
      </c>
      <c r="N354" s="4" t="s">
        <v>32</v>
      </c>
      <c r="O354" s="4" t="s">
        <v>54</v>
      </c>
      <c r="P354" s="4" t="s">
        <v>52</v>
      </c>
    </row>
    <row r="355" spans="1:16" x14ac:dyDescent="0.3">
      <c r="A355" s="2">
        <v>353</v>
      </c>
      <c r="B355" s="3">
        <v>42584</v>
      </c>
      <c r="C355" s="4" t="s">
        <v>44</v>
      </c>
      <c r="D355" s="4" t="s">
        <v>50</v>
      </c>
      <c r="E355" s="4" t="s">
        <v>27</v>
      </c>
      <c r="F355" s="2">
        <v>51</v>
      </c>
      <c r="G355" s="5">
        <v>6741</v>
      </c>
      <c r="H355" s="2">
        <v>7</v>
      </c>
      <c r="I355" s="2">
        <v>5</v>
      </c>
      <c r="J355" s="4" t="s">
        <v>35</v>
      </c>
      <c r="K355" s="4" t="s">
        <v>28</v>
      </c>
      <c r="L355" s="4" t="s">
        <v>31</v>
      </c>
      <c r="M355" s="5">
        <v>80892</v>
      </c>
      <c r="N355" s="4" t="s">
        <v>29</v>
      </c>
      <c r="O355" s="4" t="s">
        <v>54</v>
      </c>
      <c r="P355" s="4" t="s">
        <v>52</v>
      </c>
    </row>
    <row r="356" spans="1:16" x14ac:dyDescent="0.3">
      <c r="A356" s="2">
        <v>356</v>
      </c>
      <c r="B356" s="3">
        <v>42707</v>
      </c>
      <c r="C356" s="4" t="s">
        <v>16</v>
      </c>
      <c r="D356" s="4" t="s">
        <v>40</v>
      </c>
      <c r="E356" s="4" t="s">
        <v>27</v>
      </c>
      <c r="F356" s="2">
        <v>43</v>
      </c>
      <c r="G356" s="5">
        <v>18288</v>
      </c>
      <c r="H356" s="2">
        <v>7</v>
      </c>
      <c r="I356" s="2">
        <v>1</v>
      </c>
      <c r="J356" s="4" t="s">
        <v>35</v>
      </c>
      <c r="K356" s="4" t="s">
        <v>28</v>
      </c>
      <c r="L356" s="4" t="s">
        <v>39</v>
      </c>
      <c r="M356" s="5">
        <v>219456</v>
      </c>
      <c r="N356" s="4" t="s">
        <v>22</v>
      </c>
      <c r="O356" s="4" t="s">
        <v>54</v>
      </c>
      <c r="P356" s="4" t="s">
        <v>24</v>
      </c>
    </row>
    <row r="357" spans="1:16" x14ac:dyDescent="0.3">
      <c r="A357" s="2">
        <v>357</v>
      </c>
      <c r="B357" s="3">
        <v>42340</v>
      </c>
      <c r="C357" s="4" t="s">
        <v>44</v>
      </c>
      <c r="D357" s="4" t="s">
        <v>45</v>
      </c>
      <c r="E357" s="4" t="s">
        <v>18</v>
      </c>
      <c r="F357" s="2">
        <v>36</v>
      </c>
      <c r="G357" s="5">
        <v>12252</v>
      </c>
      <c r="H357" s="2">
        <v>4</v>
      </c>
      <c r="I357" s="2">
        <v>5</v>
      </c>
      <c r="J357" s="4" t="s">
        <v>19</v>
      </c>
      <c r="K357" s="4" t="s">
        <v>28</v>
      </c>
      <c r="L357" s="4" t="s">
        <v>43</v>
      </c>
      <c r="M357" s="5">
        <v>147024</v>
      </c>
      <c r="N357" s="4" t="s">
        <v>22</v>
      </c>
      <c r="O357" s="4" t="s">
        <v>54</v>
      </c>
      <c r="P357" s="4" t="s">
        <v>52</v>
      </c>
    </row>
    <row r="358" spans="1:16" x14ac:dyDescent="0.3">
      <c r="A358" s="2">
        <v>358</v>
      </c>
      <c r="B358" s="3">
        <v>42050</v>
      </c>
      <c r="C358" s="4" t="s">
        <v>37</v>
      </c>
      <c r="D358" s="4" t="s">
        <v>38</v>
      </c>
      <c r="E358" s="4" t="s">
        <v>27</v>
      </c>
      <c r="F358" s="2">
        <v>44</v>
      </c>
      <c r="G358" s="5">
        <v>9473</v>
      </c>
      <c r="H358" s="2">
        <v>3</v>
      </c>
      <c r="I358" s="2">
        <v>2</v>
      </c>
      <c r="J358" s="4" t="s">
        <v>35</v>
      </c>
      <c r="K358" s="4" t="s">
        <v>20</v>
      </c>
      <c r="L358" s="4" t="s">
        <v>21</v>
      </c>
      <c r="M358" s="5">
        <v>113676</v>
      </c>
      <c r="N358" s="4" t="s">
        <v>22</v>
      </c>
      <c r="O358" s="4" t="s">
        <v>54</v>
      </c>
      <c r="P358" s="4" t="s">
        <v>24</v>
      </c>
    </row>
    <row r="359" spans="1:16" x14ac:dyDescent="0.3">
      <c r="A359" s="2">
        <v>360</v>
      </c>
      <c r="B359" s="3">
        <v>43294</v>
      </c>
      <c r="C359" s="4" t="s">
        <v>44</v>
      </c>
      <c r="D359" s="4" t="s">
        <v>50</v>
      </c>
      <c r="E359" s="4" t="s">
        <v>18</v>
      </c>
      <c r="F359" s="2">
        <v>60</v>
      </c>
      <c r="G359" s="5">
        <v>10017</v>
      </c>
      <c r="H359" s="2">
        <v>4</v>
      </c>
      <c r="I359" s="2">
        <v>4</v>
      </c>
      <c r="J359" s="4" t="s">
        <v>19</v>
      </c>
      <c r="K359" s="4" t="s">
        <v>20</v>
      </c>
      <c r="L359" s="4" t="s">
        <v>43</v>
      </c>
      <c r="M359" s="5">
        <v>120204</v>
      </c>
      <c r="N359" s="4" t="s">
        <v>29</v>
      </c>
      <c r="O359" s="4" t="s">
        <v>54</v>
      </c>
      <c r="P359" s="4" t="s">
        <v>52</v>
      </c>
    </row>
    <row r="360" spans="1:16" x14ac:dyDescent="0.3">
      <c r="A360" s="2">
        <v>363</v>
      </c>
      <c r="B360" s="3">
        <v>43287</v>
      </c>
      <c r="C360" s="4" t="s">
        <v>33</v>
      </c>
      <c r="D360" s="4" t="s">
        <v>49</v>
      </c>
      <c r="E360" s="4" t="s">
        <v>18</v>
      </c>
      <c r="F360" s="2">
        <v>37</v>
      </c>
      <c r="G360" s="5">
        <v>7996</v>
      </c>
      <c r="H360" s="2">
        <v>5</v>
      </c>
      <c r="I360" s="2">
        <v>4</v>
      </c>
      <c r="J360" s="4" t="s">
        <v>35</v>
      </c>
      <c r="K360" s="4" t="s">
        <v>20</v>
      </c>
      <c r="L360" s="4" t="s">
        <v>39</v>
      </c>
      <c r="M360" s="5">
        <v>95952</v>
      </c>
      <c r="N360" s="4" t="s">
        <v>22</v>
      </c>
      <c r="O360" s="4" t="s">
        <v>54</v>
      </c>
      <c r="P360" s="4" t="s">
        <v>52</v>
      </c>
    </row>
    <row r="361" spans="1:16" x14ac:dyDescent="0.3">
      <c r="A361" s="2">
        <v>367</v>
      </c>
      <c r="B361" s="3">
        <v>45044</v>
      </c>
      <c r="C361" s="4" t="s">
        <v>44</v>
      </c>
      <c r="D361" s="4" t="s">
        <v>50</v>
      </c>
      <c r="E361" s="4" t="s">
        <v>27</v>
      </c>
      <c r="F361" s="2">
        <v>26</v>
      </c>
      <c r="G361" s="5">
        <v>10476</v>
      </c>
      <c r="H361" s="2">
        <v>6</v>
      </c>
      <c r="I361" s="2">
        <v>2</v>
      </c>
      <c r="J361" s="4" t="s">
        <v>35</v>
      </c>
      <c r="K361" s="4" t="s">
        <v>36</v>
      </c>
      <c r="L361" s="4" t="s">
        <v>31</v>
      </c>
      <c r="M361" s="5">
        <v>125712</v>
      </c>
      <c r="N361" s="4" t="s">
        <v>32</v>
      </c>
      <c r="O361" s="4" t="s">
        <v>54</v>
      </c>
      <c r="P361" s="4" t="s">
        <v>24</v>
      </c>
    </row>
    <row r="362" spans="1:16" x14ac:dyDescent="0.3">
      <c r="A362" s="2">
        <v>368</v>
      </c>
      <c r="B362" s="3">
        <v>43892</v>
      </c>
      <c r="C362" s="4" t="s">
        <v>37</v>
      </c>
      <c r="D362" s="4" t="s">
        <v>38</v>
      </c>
      <c r="E362" s="4" t="s">
        <v>27</v>
      </c>
      <c r="F362" s="2">
        <v>47</v>
      </c>
      <c r="G362" s="5">
        <v>11914</v>
      </c>
      <c r="H362" s="2">
        <v>4</v>
      </c>
      <c r="I362" s="2">
        <v>5</v>
      </c>
      <c r="J362" s="4" t="s">
        <v>19</v>
      </c>
      <c r="K362" s="4" t="s">
        <v>28</v>
      </c>
      <c r="L362" s="4" t="s">
        <v>43</v>
      </c>
      <c r="M362" s="5">
        <v>142968</v>
      </c>
      <c r="N362" s="4" t="s">
        <v>29</v>
      </c>
      <c r="O362" s="4" t="s">
        <v>54</v>
      </c>
      <c r="P362" s="4" t="s">
        <v>52</v>
      </c>
    </row>
    <row r="363" spans="1:16" x14ac:dyDescent="0.3">
      <c r="A363" s="2">
        <v>371</v>
      </c>
      <c r="B363" s="3">
        <v>43894</v>
      </c>
      <c r="C363" s="4" t="s">
        <v>44</v>
      </c>
      <c r="D363" s="4" t="s">
        <v>50</v>
      </c>
      <c r="E363" s="4" t="s">
        <v>18</v>
      </c>
      <c r="F363" s="2">
        <v>58</v>
      </c>
      <c r="G363" s="5">
        <v>4343</v>
      </c>
      <c r="H363" s="2">
        <v>7</v>
      </c>
      <c r="I363" s="2">
        <v>2</v>
      </c>
      <c r="J363" s="4" t="s">
        <v>19</v>
      </c>
      <c r="K363" s="4" t="s">
        <v>36</v>
      </c>
      <c r="L363" s="4" t="s">
        <v>31</v>
      </c>
      <c r="M363" s="5">
        <v>52116</v>
      </c>
      <c r="N363" s="4" t="s">
        <v>29</v>
      </c>
      <c r="O363" s="4" t="s">
        <v>54</v>
      </c>
      <c r="P363" s="4" t="s">
        <v>24</v>
      </c>
    </row>
    <row r="364" spans="1:16" x14ac:dyDescent="0.3">
      <c r="A364" s="2">
        <v>378</v>
      </c>
      <c r="B364" s="3">
        <v>41170</v>
      </c>
      <c r="C364" s="4" t="s">
        <v>37</v>
      </c>
      <c r="D364" s="4" t="s">
        <v>41</v>
      </c>
      <c r="E364" s="4" t="s">
        <v>27</v>
      </c>
      <c r="F364" s="2">
        <v>48</v>
      </c>
      <c r="G364" s="5">
        <v>19575</v>
      </c>
      <c r="H364" s="2">
        <v>7</v>
      </c>
      <c r="I364" s="2">
        <v>3</v>
      </c>
      <c r="J364" s="4" t="s">
        <v>35</v>
      </c>
      <c r="K364" s="4" t="s">
        <v>36</v>
      </c>
      <c r="L364" s="4" t="s">
        <v>21</v>
      </c>
      <c r="M364" s="5">
        <v>234900</v>
      </c>
      <c r="N364" s="4" t="s">
        <v>29</v>
      </c>
      <c r="O364" s="4" t="s">
        <v>54</v>
      </c>
      <c r="P364" s="4" t="s">
        <v>53</v>
      </c>
    </row>
    <row r="365" spans="1:16" x14ac:dyDescent="0.3">
      <c r="A365" s="2">
        <v>379</v>
      </c>
      <c r="B365" s="3">
        <v>43493</v>
      </c>
      <c r="C365" s="4" t="s">
        <v>46</v>
      </c>
      <c r="D365" s="4" t="s">
        <v>47</v>
      </c>
      <c r="E365" s="4" t="s">
        <v>27</v>
      </c>
      <c r="F365" s="2">
        <v>35</v>
      </c>
      <c r="G365" s="5">
        <v>10859</v>
      </c>
      <c r="H365" s="2">
        <v>4</v>
      </c>
      <c r="I365" s="2">
        <v>4</v>
      </c>
      <c r="J365" s="4" t="s">
        <v>35</v>
      </c>
      <c r="K365" s="4" t="s">
        <v>20</v>
      </c>
      <c r="L365" s="4" t="s">
        <v>21</v>
      </c>
      <c r="M365" s="5">
        <v>130308</v>
      </c>
      <c r="N365" s="4" t="s">
        <v>22</v>
      </c>
      <c r="O365" s="4" t="s">
        <v>54</v>
      </c>
      <c r="P365" s="4" t="s">
        <v>52</v>
      </c>
    </row>
    <row r="366" spans="1:16" x14ac:dyDescent="0.3">
      <c r="A366" s="2">
        <v>381</v>
      </c>
      <c r="B366" s="3">
        <v>40642</v>
      </c>
      <c r="C366" s="4" t="s">
        <v>44</v>
      </c>
      <c r="D366" s="4" t="s">
        <v>45</v>
      </c>
      <c r="E366" s="4" t="s">
        <v>27</v>
      </c>
      <c r="F366" s="2">
        <v>35</v>
      </c>
      <c r="G366" s="5">
        <v>18382</v>
      </c>
      <c r="H366" s="2">
        <v>4</v>
      </c>
      <c r="I366" s="2">
        <v>2</v>
      </c>
      <c r="J366" s="4" t="s">
        <v>35</v>
      </c>
      <c r="K366" s="4" t="s">
        <v>28</v>
      </c>
      <c r="L366" s="4" t="s">
        <v>31</v>
      </c>
      <c r="M366" s="5">
        <v>220584</v>
      </c>
      <c r="N366" s="4" t="s">
        <v>22</v>
      </c>
      <c r="O366" s="4" t="s">
        <v>54</v>
      </c>
      <c r="P366" s="4" t="s">
        <v>24</v>
      </c>
    </row>
    <row r="367" spans="1:16" x14ac:dyDescent="0.3">
      <c r="A367" s="2">
        <v>382</v>
      </c>
      <c r="B367" s="3">
        <v>40693</v>
      </c>
      <c r="C367" s="4" t="s">
        <v>33</v>
      </c>
      <c r="D367" s="4" t="s">
        <v>49</v>
      </c>
      <c r="E367" s="4" t="s">
        <v>27</v>
      </c>
      <c r="F367" s="2">
        <v>35</v>
      </c>
      <c r="G367" s="5">
        <v>9511</v>
      </c>
      <c r="H367" s="2">
        <v>5</v>
      </c>
      <c r="I367" s="2">
        <v>1</v>
      </c>
      <c r="J367" s="4" t="s">
        <v>35</v>
      </c>
      <c r="K367" s="4" t="s">
        <v>36</v>
      </c>
      <c r="L367" s="4" t="s">
        <v>21</v>
      </c>
      <c r="M367" s="5">
        <v>114132</v>
      </c>
      <c r="N367" s="4" t="s">
        <v>22</v>
      </c>
      <c r="O367" s="4" t="s">
        <v>54</v>
      </c>
      <c r="P367" s="4" t="s">
        <v>24</v>
      </c>
    </row>
    <row r="368" spans="1:16" x14ac:dyDescent="0.3">
      <c r="A368" s="2">
        <v>394</v>
      </c>
      <c r="B368" s="3">
        <v>42527</v>
      </c>
      <c r="C368" s="4" t="s">
        <v>16</v>
      </c>
      <c r="D368" s="4" t="s">
        <v>40</v>
      </c>
      <c r="E368" s="4" t="s">
        <v>18</v>
      </c>
      <c r="F368" s="2">
        <v>56</v>
      </c>
      <c r="G368" s="5">
        <v>6640</v>
      </c>
      <c r="H368" s="2">
        <v>4</v>
      </c>
      <c r="I368" s="2">
        <v>2</v>
      </c>
      <c r="J368" s="4" t="s">
        <v>19</v>
      </c>
      <c r="K368" s="4" t="s">
        <v>20</v>
      </c>
      <c r="L368" s="4" t="s">
        <v>42</v>
      </c>
      <c r="M368" s="5">
        <v>79680</v>
      </c>
      <c r="N368" s="4" t="s">
        <v>29</v>
      </c>
      <c r="O368" s="4" t="s">
        <v>54</v>
      </c>
      <c r="P368" s="4" t="s">
        <v>24</v>
      </c>
    </row>
    <row r="369" spans="1:16" x14ac:dyDescent="0.3">
      <c r="A369" s="2">
        <v>402</v>
      </c>
      <c r="B369" s="3">
        <v>42434</v>
      </c>
      <c r="C369" s="4" t="s">
        <v>37</v>
      </c>
      <c r="D369" s="4" t="s">
        <v>38</v>
      </c>
      <c r="E369" s="4" t="s">
        <v>27</v>
      </c>
      <c r="F369" s="2">
        <v>35</v>
      </c>
      <c r="G369" s="5">
        <v>8188</v>
      </c>
      <c r="H369" s="2">
        <v>5</v>
      </c>
      <c r="I369" s="2">
        <v>4</v>
      </c>
      <c r="J369" s="4" t="s">
        <v>35</v>
      </c>
      <c r="K369" s="4" t="s">
        <v>36</v>
      </c>
      <c r="L369" s="4" t="s">
        <v>21</v>
      </c>
      <c r="M369" s="5">
        <v>98256</v>
      </c>
      <c r="N369" s="4" t="s">
        <v>22</v>
      </c>
      <c r="O369" s="4" t="s">
        <v>54</v>
      </c>
      <c r="P369" s="4" t="s">
        <v>52</v>
      </c>
    </row>
    <row r="370" spans="1:16" x14ac:dyDescent="0.3">
      <c r="A370" s="2">
        <v>404</v>
      </c>
      <c r="B370" s="3">
        <v>42147</v>
      </c>
      <c r="C370" s="4" t="s">
        <v>25</v>
      </c>
      <c r="D370" s="4" t="s">
        <v>26</v>
      </c>
      <c r="E370" s="4" t="s">
        <v>27</v>
      </c>
      <c r="F370" s="2">
        <v>27</v>
      </c>
      <c r="G370" s="5">
        <v>7233</v>
      </c>
      <c r="H370" s="2">
        <v>6</v>
      </c>
      <c r="I370" s="2">
        <v>4</v>
      </c>
      <c r="J370" s="4" t="s">
        <v>19</v>
      </c>
      <c r="K370" s="4" t="s">
        <v>28</v>
      </c>
      <c r="L370" s="4" t="s">
        <v>43</v>
      </c>
      <c r="M370" s="5">
        <v>86796</v>
      </c>
      <c r="N370" s="4" t="s">
        <v>32</v>
      </c>
      <c r="O370" s="4" t="s">
        <v>54</v>
      </c>
      <c r="P370" s="4" t="s">
        <v>52</v>
      </c>
    </row>
    <row r="371" spans="1:16" x14ac:dyDescent="0.3">
      <c r="A371" s="2">
        <v>405</v>
      </c>
      <c r="B371" s="3">
        <v>44014</v>
      </c>
      <c r="C371" s="4" t="s">
        <v>25</v>
      </c>
      <c r="D371" s="4" t="s">
        <v>30</v>
      </c>
      <c r="E371" s="4" t="s">
        <v>18</v>
      </c>
      <c r="F371" s="2">
        <v>31</v>
      </c>
      <c r="G371" s="5">
        <v>17223</v>
      </c>
      <c r="H371" s="2">
        <v>7</v>
      </c>
      <c r="I371" s="2">
        <v>5</v>
      </c>
      <c r="J371" s="4" t="s">
        <v>35</v>
      </c>
      <c r="K371" s="4" t="s">
        <v>20</v>
      </c>
      <c r="L371" s="4" t="s">
        <v>43</v>
      </c>
      <c r="M371" s="5">
        <v>206676</v>
      </c>
      <c r="N371" s="4" t="s">
        <v>22</v>
      </c>
      <c r="O371" s="4" t="s">
        <v>54</v>
      </c>
      <c r="P371" s="4" t="s">
        <v>52</v>
      </c>
    </row>
    <row r="372" spans="1:16" x14ac:dyDescent="0.3">
      <c r="A372" s="2">
        <v>406</v>
      </c>
      <c r="B372" s="3">
        <v>43626</v>
      </c>
      <c r="C372" s="4" t="s">
        <v>44</v>
      </c>
      <c r="D372" s="4" t="s">
        <v>45</v>
      </c>
      <c r="E372" s="4" t="s">
        <v>27</v>
      </c>
      <c r="F372" s="2">
        <v>48</v>
      </c>
      <c r="G372" s="5">
        <v>8498</v>
      </c>
      <c r="H372" s="2">
        <v>6</v>
      </c>
      <c r="I372" s="2">
        <v>4</v>
      </c>
      <c r="J372" s="4" t="s">
        <v>35</v>
      </c>
      <c r="K372" s="4" t="s">
        <v>36</v>
      </c>
      <c r="L372" s="4" t="s">
        <v>31</v>
      </c>
      <c r="M372" s="5">
        <v>101976</v>
      </c>
      <c r="N372" s="4" t="s">
        <v>29</v>
      </c>
      <c r="O372" s="4" t="s">
        <v>54</v>
      </c>
      <c r="P372" s="4" t="s">
        <v>52</v>
      </c>
    </row>
    <row r="373" spans="1:16" x14ac:dyDescent="0.3">
      <c r="A373" s="2">
        <v>407</v>
      </c>
      <c r="B373" s="3">
        <v>42869</v>
      </c>
      <c r="C373" s="4" t="s">
        <v>25</v>
      </c>
      <c r="D373" s="4" t="s">
        <v>26</v>
      </c>
      <c r="E373" s="4" t="s">
        <v>27</v>
      </c>
      <c r="F373" s="2">
        <v>47</v>
      </c>
      <c r="G373" s="5">
        <v>11257</v>
      </c>
      <c r="H373" s="2">
        <v>7</v>
      </c>
      <c r="I373" s="2">
        <v>4</v>
      </c>
      <c r="J373" s="4" t="s">
        <v>35</v>
      </c>
      <c r="K373" s="4" t="s">
        <v>20</v>
      </c>
      <c r="L373" s="4" t="s">
        <v>42</v>
      </c>
      <c r="M373" s="5">
        <v>135084</v>
      </c>
      <c r="N373" s="4" t="s">
        <v>29</v>
      </c>
      <c r="O373" s="4" t="s">
        <v>54</v>
      </c>
      <c r="P373" s="4" t="s">
        <v>52</v>
      </c>
    </row>
    <row r="374" spans="1:16" x14ac:dyDescent="0.3">
      <c r="A374" s="2">
        <v>411</v>
      </c>
      <c r="B374" s="3">
        <v>41619</v>
      </c>
      <c r="C374" s="4" t="s">
        <v>44</v>
      </c>
      <c r="D374" s="4" t="s">
        <v>50</v>
      </c>
      <c r="E374" s="4" t="s">
        <v>18</v>
      </c>
      <c r="F374" s="2">
        <v>57</v>
      </c>
      <c r="G374" s="5">
        <v>9317</v>
      </c>
      <c r="H374" s="2">
        <v>4</v>
      </c>
      <c r="I374" s="2">
        <v>1</v>
      </c>
      <c r="J374" s="4" t="s">
        <v>35</v>
      </c>
      <c r="K374" s="4" t="s">
        <v>36</v>
      </c>
      <c r="L374" s="4" t="s">
        <v>39</v>
      </c>
      <c r="M374" s="5">
        <v>111804</v>
      </c>
      <c r="N374" s="4" t="s">
        <v>29</v>
      </c>
      <c r="O374" s="4" t="s">
        <v>54</v>
      </c>
      <c r="P374" s="4" t="s">
        <v>24</v>
      </c>
    </row>
    <row r="375" spans="1:16" x14ac:dyDescent="0.3">
      <c r="A375" s="2">
        <v>412</v>
      </c>
      <c r="B375" s="3">
        <v>42205</v>
      </c>
      <c r="C375" s="4" t="s">
        <v>46</v>
      </c>
      <c r="D375" s="4" t="s">
        <v>48</v>
      </c>
      <c r="E375" s="4" t="s">
        <v>18</v>
      </c>
      <c r="F375" s="2">
        <v>48</v>
      </c>
      <c r="G375" s="5">
        <v>12658</v>
      </c>
      <c r="H375" s="2">
        <v>3</v>
      </c>
      <c r="I375" s="2">
        <v>4</v>
      </c>
      <c r="J375" s="4" t="s">
        <v>35</v>
      </c>
      <c r="K375" s="4" t="s">
        <v>20</v>
      </c>
      <c r="L375" s="4" t="s">
        <v>31</v>
      </c>
      <c r="M375" s="5">
        <v>151896</v>
      </c>
      <c r="N375" s="4" t="s">
        <v>29</v>
      </c>
      <c r="O375" s="4" t="s">
        <v>54</v>
      </c>
      <c r="P375" s="4" t="s">
        <v>52</v>
      </c>
    </row>
    <row r="376" spans="1:16" x14ac:dyDescent="0.3">
      <c r="A376" s="2">
        <v>416</v>
      </c>
      <c r="B376" s="3">
        <v>45124</v>
      </c>
      <c r="C376" s="4" t="s">
        <v>44</v>
      </c>
      <c r="D376" s="4" t="s">
        <v>45</v>
      </c>
      <c r="E376" s="4" t="s">
        <v>18</v>
      </c>
      <c r="F376" s="2">
        <v>54</v>
      </c>
      <c r="G376" s="5">
        <v>9836</v>
      </c>
      <c r="H376" s="2">
        <v>4</v>
      </c>
      <c r="I376" s="2">
        <v>3</v>
      </c>
      <c r="J376" s="4" t="s">
        <v>35</v>
      </c>
      <c r="K376" s="4" t="s">
        <v>20</v>
      </c>
      <c r="L376" s="4" t="s">
        <v>39</v>
      </c>
      <c r="M376" s="5">
        <v>118032</v>
      </c>
      <c r="N376" s="4" t="s">
        <v>29</v>
      </c>
      <c r="O376" s="4" t="s">
        <v>54</v>
      </c>
      <c r="P376" s="4" t="s">
        <v>53</v>
      </c>
    </row>
    <row r="377" spans="1:16" x14ac:dyDescent="0.3">
      <c r="A377" s="2">
        <v>417</v>
      </c>
      <c r="B377" s="3">
        <v>41354</v>
      </c>
      <c r="C377" s="4" t="s">
        <v>44</v>
      </c>
      <c r="D377" s="4" t="s">
        <v>50</v>
      </c>
      <c r="E377" s="4" t="s">
        <v>27</v>
      </c>
      <c r="F377" s="2">
        <v>58</v>
      </c>
      <c r="G377" s="5">
        <v>14476</v>
      </c>
      <c r="H377" s="2">
        <v>6</v>
      </c>
      <c r="I377" s="2">
        <v>5</v>
      </c>
      <c r="J377" s="4" t="s">
        <v>35</v>
      </c>
      <c r="K377" s="4" t="s">
        <v>36</v>
      </c>
      <c r="L377" s="4" t="s">
        <v>21</v>
      </c>
      <c r="M377" s="5">
        <v>173712</v>
      </c>
      <c r="N377" s="4" t="s">
        <v>29</v>
      </c>
      <c r="O377" s="4" t="s">
        <v>54</v>
      </c>
      <c r="P377" s="4" t="s">
        <v>52</v>
      </c>
    </row>
    <row r="378" spans="1:16" x14ac:dyDescent="0.3">
      <c r="A378" s="2">
        <v>418</v>
      </c>
      <c r="B378" s="3">
        <v>42200</v>
      </c>
      <c r="C378" s="4" t="s">
        <v>46</v>
      </c>
      <c r="D378" s="4" t="s">
        <v>48</v>
      </c>
      <c r="E378" s="4" t="s">
        <v>18</v>
      </c>
      <c r="F378" s="2">
        <v>26</v>
      </c>
      <c r="G378" s="5">
        <v>19510</v>
      </c>
      <c r="H378" s="2">
        <v>6</v>
      </c>
      <c r="I378" s="2">
        <v>5</v>
      </c>
      <c r="J378" s="4" t="s">
        <v>19</v>
      </c>
      <c r="K378" s="4" t="s">
        <v>28</v>
      </c>
      <c r="L378" s="4" t="s">
        <v>42</v>
      </c>
      <c r="M378" s="5">
        <v>234120</v>
      </c>
      <c r="N378" s="4" t="s">
        <v>32</v>
      </c>
      <c r="O378" s="4" t="s">
        <v>54</v>
      </c>
      <c r="P378" s="4" t="s">
        <v>52</v>
      </c>
    </row>
    <row r="379" spans="1:16" x14ac:dyDescent="0.3">
      <c r="A379" s="2">
        <v>420</v>
      </c>
      <c r="B379" s="3">
        <v>42874</v>
      </c>
      <c r="C379" s="4" t="s">
        <v>25</v>
      </c>
      <c r="D379" s="4" t="s">
        <v>30</v>
      </c>
      <c r="E379" s="4" t="s">
        <v>18</v>
      </c>
      <c r="F379" s="2">
        <v>56</v>
      </c>
      <c r="G379" s="5">
        <v>11940</v>
      </c>
      <c r="H379" s="2">
        <v>5</v>
      </c>
      <c r="I379" s="2">
        <v>3</v>
      </c>
      <c r="J379" s="4" t="s">
        <v>19</v>
      </c>
      <c r="K379" s="4" t="s">
        <v>20</v>
      </c>
      <c r="L379" s="4" t="s">
        <v>31</v>
      </c>
      <c r="M379" s="5">
        <v>143280</v>
      </c>
      <c r="N379" s="4" t="s">
        <v>29</v>
      </c>
      <c r="O379" s="4" t="s">
        <v>54</v>
      </c>
      <c r="P379" s="4" t="s">
        <v>53</v>
      </c>
    </row>
    <row r="380" spans="1:16" x14ac:dyDescent="0.3">
      <c r="A380" s="2">
        <v>424</v>
      </c>
      <c r="B380" s="3">
        <v>40375</v>
      </c>
      <c r="C380" s="4" t="s">
        <v>46</v>
      </c>
      <c r="D380" s="4" t="s">
        <v>47</v>
      </c>
      <c r="E380" s="4" t="s">
        <v>18</v>
      </c>
      <c r="F380" s="2">
        <v>29</v>
      </c>
      <c r="G380" s="5">
        <v>4064</v>
      </c>
      <c r="H380" s="2">
        <v>7</v>
      </c>
      <c r="I380" s="2">
        <v>2</v>
      </c>
      <c r="J380" s="4" t="s">
        <v>19</v>
      </c>
      <c r="K380" s="4" t="s">
        <v>36</v>
      </c>
      <c r="L380" s="4" t="s">
        <v>31</v>
      </c>
      <c r="M380" s="5">
        <v>48768</v>
      </c>
      <c r="N380" s="4" t="s">
        <v>32</v>
      </c>
      <c r="O380" s="4" t="s">
        <v>54</v>
      </c>
      <c r="P380" s="4" t="s">
        <v>24</v>
      </c>
    </row>
    <row r="381" spans="1:16" x14ac:dyDescent="0.3">
      <c r="A381" s="2">
        <v>430</v>
      </c>
      <c r="B381" s="3">
        <v>44888</v>
      </c>
      <c r="C381" s="4" t="s">
        <v>44</v>
      </c>
      <c r="D381" s="4" t="s">
        <v>45</v>
      </c>
      <c r="E381" s="4" t="s">
        <v>27</v>
      </c>
      <c r="F381" s="2">
        <v>50</v>
      </c>
      <c r="G381" s="5">
        <v>17304</v>
      </c>
      <c r="H381" s="2">
        <v>5</v>
      </c>
      <c r="I381" s="2">
        <v>2</v>
      </c>
      <c r="J381" s="4" t="s">
        <v>35</v>
      </c>
      <c r="K381" s="4" t="s">
        <v>20</v>
      </c>
      <c r="L381" s="4" t="s">
        <v>43</v>
      </c>
      <c r="M381" s="5">
        <v>207648</v>
      </c>
      <c r="N381" s="4" t="s">
        <v>29</v>
      </c>
      <c r="O381" s="4" t="s">
        <v>54</v>
      </c>
      <c r="P381" s="4" t="s">
        <v>24</v>
      </c>
    </row>
    <row r="382" spans="1:16" x14ac:dyDescent="0.3">
      <c r="A382" s="2">
        <v>438</v>
      </c>
      <c r="B382" s="3">
        <v>42020</v>
      </c>
      <c r="C382" s="4" t="s">
        <v>16</v>
      </c>
      <c r="D382" s="4" t="s">
        <v>17</v>
      </c>
      <c r="E382" s="4" t="s">
        <v>18</v>
      </c>
      <c r="F382" s="2">
        <v>26</v>
      </c>
      <c r="G382" s="5">
        <v>19425</v>
      </c>
      <c r="H382" s="2">
        <v>3</v>
      </c>
      <c r="I382" s="2">
        <v>4</v>
      </c>
      <c r="J382" s="4" t="s">
        <v>19</v>
      </c>
      <c r="K382" s="4" t="s">
        <v>28</v>
      </c>
      <c r="L382" s="4" t="s">
        <v>43</v>
      </c>
      <c r="M382" s="5">
        <v>233100</v>
      </c>
      <c r="N382" s="4" t="s">
        <v>32</v>
      </c>
      <c r="O382" s="4" t="s">
        <v>54</v>
      </c>
      <c r="P382" s="4" t="s">
        <v>52</v>
      </c>
    </row>
    <row r="383" spans="1:16" x14ac:dyDescent="0.3">
      <c r="A383" s="2">
        <v>440</v>
      </c>
      <c r="B383" s="3">
        <v>40433</v>
      </c>
      <c r="C383" s="4" t="s">
        <v>37</v>
      </c>
      <c r="D383" s="4" t="s">
        <v>41</v>
      </c>
      <c r="E383" s="4" t="s">
        <v>18</v>
      </c>
      <c r="F383" s="2">
        <v>38</v>
      </c>
      <c r="G383" s="5">
        <v>16237</v>
      </c>
      <c r="H383" s="2">
        <v>7</v>
      </c>
      <c r="I383" s="2">
        <v>5</v>
      </c>
      <c r="J383" s="4" t="s">
        <v>35</v>
      </c>
      <c r="K383" s="4" t="s">
        <v>28</v>
      </c>
      <c r="L383" s="4" t="s">
        <v>43</v>
      </c>
      <c r="M383" s="5">
        <v>194844</v>
      </c>
      <c r="N383" s="4" t="s">
        <v>22</v>
      </c>
      <c r="O383" s="4" t="s">
        <v>54</v>
      </c>
      <c r="P383" s="4" t="s">
        <v>52</v>
      </c>
    </row>
    <row r="384" spans="1:16" x14ac:dyDescent="0.3">
      <c r="A384" s="2">
        <v>443</v>
      </c>
      <c r="B384" s="3">
        <v>40436</v>
      </c>
      <c r="C384" s="4" t="s">
        <v>16</v>
      </c>
      <c r="D384" s="4" t="s">
        <v>40</v>
      </c>
      <c r="E384" s="4" t="s">
        <v>18</v>
      </c>
      <c r="F384" s="2">
        <v>58</v>
      </c>
      <c r="G384" s="5">
        <v>16623</v>
      </c>
      <c r="H384" s="2">
        <v>4</v>
      </c>
      <c r="I384" s="2">
        <v>3</v>
      </c>
      <c r="J384" s="4" t="s">
        <v>19</v>
      </c>
      <c r="K384" s="4" t="s">
        <v>36</v>
      </c>
      <c r="L384" s="4" t="s">
        <v>21</v>
      </c>
      <c r="M384" s="5">
        <v>199476</v>
      </c>
      <c r="N384" s="4" t="s">
        <v>29</v>
      </c>
      <c r="O384" s="4" t="s">
        <v>54</v>
      </c>
      <c r="P384" s="4" t="s">
        <v>53</v>
      </c>
    </row>
    <row r="385" spans="1:16" x14ac:dyDescent="0.3">
      <c r="A385" s="2">
        <v>447</v>
      </c>
      <c r="B385" s="3">
        <v>42282</v>
      </c>
      <c r="C385" s="4" t="s">
        <v>33</v>
      </c>
      <c r="D385" s="4" t="s">
        <v>49</v>
      </c>
      <c r="E385" s="4" t="s">
        <v>27</v>
      </c>
      <c r="F385" s="2">
        <v>32</v>
      </c>
      <c r="G385" s="5">
        <v>18662</v>
      </c>
      <c r="H385" s="2">
        <v>7</v>
      </c>
      <c r="I385" s="2">
        <v>1</v>
      </c>
      <c r="J385" s="4" t="s">
        <v>19</v>
      </c>
      <c r="K385" s="4" t="s">
        <v>28</v>
      </c>
      <c r="L385" s="4" t="s">
        <v>31</v>
      </c>
      <c r="M385" s="5">
        <v>223944</v>
      </c>
      <c r="N385" s="4" t="s">
        <v>22</v>
      </c>
      <c r="O385" s="4" t="s">
        <v>54</v>
      </c>
      <c r="P385" s="4" t="s">
        <v>24</v>
      </c>
    </row>
    <row r="386" spans="1:16" x14ac:dyDescent="0.3">
      <c r="A386" s="2">
        <v>458</v>
      </c>
      <c r="B386" s="3">
        <v>44424</v>
      </c>
      <c r="C386" s="4" t="s">
        <v>37</v>
      </c>
      <c r="D386" s="4" t="s">
        <v>38</v>
      </c>
      <c r="E386" s="4" t="s">
        <v>18</v>
      </c>
      <c r="F386" s="2">
        <v>38</v>
      </c>
      <c r="G386" s="5">
        <v>4694</v>
      </c>
      <c r="H386" s="2">
        <v>7</v>
      </c>
      <c r="I386" s="2">
        <v>5</v>
      </c>
      <c r="J386" s="4" t="s">
        <v>19</v>
      </c>
      <c r="K386" s="4" t="s">
        <v>36</v>
      </c>
      <c r="L386" s="4" t="s">
        <v>31</v>
      </c>
      <c r="M386" s="5">
        <v>56328</v>
      </c>
      <c r="N386" s="4" t="s">
        <v>22</v>
      </c>
      <c r="O386" s="4" t="s">
        <v>54</v>
      </c>
      <c r="P386" s="4" t="s">
        <v>52</v>
      </c>
    </row>
    <row r="387" spans="1:16" x14ac:dyDescent="0.3">
      <c r="A387" s="2">
        <v>464</v>
      </c>
      <c r="B387" s="3">
        <v>43592</v>
      </c>
      <c r="C387" s="4" t="s">
        <v>25</v>
      </c>
      <c r="D387" s="4" t="s">
        <v>26</v>
      </c>
      <c r="E387" s="4" t="s">
        <v>18</v>
      </c>
      <c r="F387" s="2">
        <v>28</v>
      </c>
      <c r="G387" s="5">
        <v>6778</v>
      </c>
      <c r="H387" s="2">
        <v>4</v>
      </c>
      <c r="I387" s="2">
        <v>2</v>
      </c>
      <c r="J387" s="4" t="s">
        <v>35</v>
      </c>
      <c r="K387" s="4" t="s">
        <v>36</v>
      </c>
      <c r="L387" s="4" t="s">
        <v>31</v>
      </c>
      <c r="M387" s="5">
        <v>81336</v>
      </c>
      <c r="N387" s="4" t="s">
        <v>32</v>
      </c>
      <c r="O387" s="4" t="s">
        <v>54</v>
      </c>
      <c r="P387" s="4" t="s">
        <v>24</v>
      </c>
    </row>
    <row r="388" spans="1:16" x14ac:dyDescent="0.3">
      <c r="A388" s="2">
        <v>465</v>
      </c>
      <c r="B388" s="3">
        <v>44226</v>
      </c>
      <c r="C388" s="4" t="s">
        <v>44</v>
      </c>
      <c r="D388" s="4" t="s">
        <v>45</v>
      </c>
      <c r="E388" s="4" t="s">
        <v>27</v>
      </c>
      <c r="F388" s="2">
        <v>42</v>
      </c>
      <c r="G388" s="5">
        <v>11508</v>
      </c>
      <c r="H388" s="2">
        <v>7</v>
      </c>
      <c r="I388" s="2">
        <v>3</v>
      </c>
      <c r="J388" s="4" t="s">
        <v>35</v>
      </c>
      <c r="K388" s="4" t="s">
        <v>20</v>
      </c>
      <c r="L388" s="4" t="s">
        <v>39</v>
      </c>
      <c r="M388" s="5">
        <v>138096</v>
      </c>
      <c r="N388" s="4" t="s">
        <v>22</v>
      </c>
      <c r="O388" s="4" t="s">
        <v>54</v>
      </c>
      <c r="P388" s="4" t="s">
        <v>53</v>
      </c>
    </row>
    <row r="389" spans="1:16" x14ac:dyDescent="0.3">
      <c r="A389" s="2">
        <v>466</v>
      </c>
      <c r="B389" s="3">
        <v>41018</v>
      </c>
      <c r="C389" s="4" t="s">
        <v>33</v>
      </c>
      <c r="D389" s="4" t="s">
        <v>34</v>
      </c>
      <c r="E389" s="4" t="s">
        <v>27</v>
      </c>
      <c r="F389" s="2">
        <v>31</v>
      </c>
      <c r="G389" s="5">
        <v>13081</v>
      </c>
      <c r="H389" s="2">
        <v>7</v>
      </c>
      <c r="I389" s="2">
        <v>1</v>
      </c>
      <c r="J389" s="4" t="s">
        <v>19</v>
      </c>
      <c r="K389" s="4" t="s">
        <v>20</v>
      </c>
      <c r="L389" s="4" t="s">
        <v>21</v>
      </c>
      <c r="M389" s="5">
        <v>156972</v>
      </c>
      <c r="N389" s="4" t="s">
        <v>22</v>
      </c>
      <c r="O389" s="4" t="s">
        <v>54</v>
      </c>
      <c r="P389" s="4" t="s">
        <v>24</v>
      </c>
    </row>
    <row r="390" spans="1:16" x14ac:dyDescent="0.3">
      <c r="A390" s="2">
        <v>469</v>
      </c>
      <c r="B390" s="3">
        <v>44732</v>
      </c>
      <c r="C390" s="4" t="s">
        <v>16</v>
      </c>
      <c r="D390" s="4" t="s">
        <v>17</v>
      </c>
      <c r="E390" s="4" t="s">
        <v>27</v>
      </c>
      <c r="F390" s="2">
        <v>45</v>
      </c>
      <c r="G390" s="5">
        <v>7468</v>
      </c>
      <c r="H390" s="2">
        <v>7</v>
      </c>
      <c r="I390" s="2">
        <v>5</v>
      </c>
      <c r="J390" s="4" t="s">
        <v>19</v>
      </c>
      <c r="K390" s="4" t="s">
        <v>20</v>
      </c>
      <c r="L390" s="4" t="s">
        <v>42</v>
      </c>
      <c r="M390" s="5">
        <v>89616</v>
      </c>
      <c r="N390" s="4" t="s">
        <v>22</v>
      </c>
      <c r="O390" s="4" t="s">
        <v>54</v>
      </c>
      <c r="P390" s="4" t="s">
        <v>52</v>
      </c>
    </row>
    <row r="391" spans="1:16" x14ac:dyDescent="0.3">
      <c r="A391" s="2">
        <v>470</v>
      </c>
      <c r="B391" s="3">
        <v>42467</v>
      </c>
      <c r="C391" s="4" t="s">
        <v>37</v>
      </c>
      <c r="D391" s="4" t="s">
        <v>38</v>
      </c>
      <c r="E391" s="4" t="s">
        <v>18</v>
      </c>
      <c r="F391" s="2">
        <v>49</v>
      </c>
      <c r="G391" s="5">
        <v>7897</v>
      </c>
      <c r="H391" s="2">
        <v>5</v>
      </c>
      <c r="I391" s="2">
        <v>5</v>
      </c>
      <c r="J391" s="4" t="s">
        <v>19</v>
      </c>
      <c r="K391" s="4" t="s">
        <v>28</v>
      </c>
      <c r="L391" s="4" t="s">
        <v>43</v>
      </c>
      <c r="M391" s="5">
        <v>94764</v>
      </c>
      <c r="N391" s="4" t="s">
        <v>29</v>
      </c>
      <c r="O391" s="4" t="s">
        <v>54</v>
      </c>
      <c r="P391" s="4" t="s">
        <v>52</v>
      </c>
    </row>
    <row r="392" spans="1:16" x14ac:dyDescent="0.3">
      <c r="A392" s="2">
        <v>471</v>
      </c>
      <c r="B392" s="3">
        <v>43679</v>
      </c>
      <c r="C392" s="4" t="s">
        <v>46</v>
      </c>
      <c r="D392" s="4" t="s">
        <v>48</v>
      </c>
      <c r="E392" s="4" t="s">
        <v>27</v>
      </c>
      <c r="F392" s="2">
        <v>38</v>
      </c>
      <c r="G392" s="5">
        <v>8272</v>
      </c>
      <c r="H392" s="2">
        <v>7</v>
      </c>
      <c r="I392" s="2">
        <v>2</v>
      </c>
      <c r="J392" s="4" t="s">
        <v>19</v>
      </c>
      <c r="K392" s="4" t="s">
        <v>28</v>
      </c>
      <c r="L392" s="4" t="s">
        <v>21</v>
      </c>
      <c r="M392" s="5">
        <v>99264</v>
      </c>
      <c r="N392" s="4" t="s">
        <v>22</v>
      </c>
      <c r="O392" s="4" t="s">
        <v>54</v>
      </c>
      <c r="P392" s="4" t="s">
        <v>24</v>
      </c>
    </row>
    <row r="393" spans="1:16" x14ac:dyDescent="0.3">
      <c r="A393" s="2">
        <v>472</v>
      </c>
      <c r="B393" s="3">
        <v>40607</v>
      </c>
      <c r="C393" s="4" t="s">
        <v>16</v>
      </c>
      <c r="D393" s="4" t="s">
        <v>17</v>
      </c>
      <c r="E393" s="4" t="s">
        <v>18</v>
      </c>
      <c r="F393" s="2">
        <v>22</v>
      </c>
      <c r="G393" s="5">
        <v>18818</v>
      </c>
      <c r="H393" s="2">
        <v>6</v>
      </c>
      <c r="I393" s="2">
        <v>2</v>
      </c>
      <c r="J393" s="4" t="s">
        <v>35</v>
      </c>
      <c r="K393" s="4" t="s">
        <v>36</v>
      </c>
      <c r="L393" s="4" t="s">
        <v>31</v>
      </c>
      <c r="M393" s="5">
        <v>225816</v>
      </c>
      <c r="N393" s="4" t="s">
        <v>32</v>
      </c>
      <c r="O393" s="4" t="s">
        <v>54</v>
      </c>
      <c r="P393" s="4" t="s">
        <v>24</v>
      </c>
    </row>
    <row r="394" spans="1:16" x14ac:dyDescent="0.3">
      <c r="A394" s="2">
        <v>473</v>
      </c>
      <c r="B394" s="3">
        <v>40379</v>
      </c>
      <c r="C394" s="4" t="s">
        <v>25</v>
      </c>
      <c r="D394" s="4" t="s">
        <v>30</v>
      </c>
      <c r="E394" s="4" t="s">
        <v>27</v>
      </c>
      <c r="F394" s="2">
        <v>46</v>
      </c>
      <c r="G394" s="5">
        <v>15249</v>
      </c>
      <c r="H394" s="2">
        <v>5</v>
      </c>
      <c r="I394" s="2">
        <v>5</v>
      </c>
      <c r="J394" s="4" t="s">
        <v>19</v>
      </c>
      <c r="K394" s="4" t="s">
        <v>20</v>
      </c>
      <c r="L394" s="4" t="s">
        <v>43</v>
      </c>
      <c r="M394" s="5">
        <v>182988</v>
      </c>
      <c r="N394" s="4" t="s">
        <v>29</v>
      </c>
      <c r="O394" s="4" t="s">
        <v>54</v>
      </c>
      <c r="P394" s="4" t="s">
        <v>52</v>
      </c>
    </row>
    <row r="395" spans="1:16" x14ac:dyDescent="0.3">
      <c r="A395" s="2">
        <v>474</v>
      </c>
      <c r="B395" s="3">
        <v>45112</v>
      </c>
      <c r="C395" s="4" t="s">
        <v>25</v>
      </c>
      <c r="D395" s="4" t="s">
        <v>30</v>
      </c>
      <c r="E395" s="4" t="s">
        <v>27</v>
      </c>
      <c r="F395" s="2">
        <v>22</v>
      </c>
      <c r="G395" s="5">
        <v>5791</v>
      </c>
      <c r="H395" s="2">
        <v>4</v>
      </c>
      <c r="I395" s="2">
        <v>1</v>
      </c>
      <c r="J395" s="4" t="s">
        <v>35</v>
      </c>
      <c r="K395" s="4" t="s">
        <v>36</v>
      </c>
      <c r="L395" s="4" t="s">
        <v>21</v>
      </c>
      <c r="M395" s="5">
        <v>69492</v>
      </c>
      <c r="N395" s="4" t="s">
        <v>32</v>
      </c>
      <c r="O395" s="4" t="s">
        <v>54</v>
      </c>
      <c r="P395" s="4" t="s">
        <v>24</v>
      </c>
    </row>
    <row r="396" spans="1:16" x14ac:dyDescent="0.3">
      <c r="A396" s="2">
        <v>476</v>
      </c>
      <c r="B396" s="3">
        <v>41014</v>
      </c>
      <c r="C396" s="4" t="s">
        <v>25</v>
      </c>
      <c r="D396" s="4" t="s">
        <v>30</v>
      </c>
      <c r="E396" s="4" t="s">
        <v>18</v>
      </c>
      <c r="F396" s="2">
        <v>29</v>
      </c>
      <c r="G396" s="5">
        <v>19860</v>
      </c>
      <c r="H396" s="2">
        <v>5</v>
      </c>
      <c r="I396" s="2">
        <v>3</v>
      </c>
      <c r="J396" s="4" t="s">
        <v>19</v>
      </c>
      <c r="K396" s="4" t="s">
        <v>36</v>
      </c>
      <c r="L396" s="4" t="s">
        <v>21</v>
      </c>
      <c r="M396" s="5">
        <v>238320</v>
      </c>
      <c r="N396" s="4" t="s">
        <v>32</v>
      </c>
      <c r="O396" s="4" t="s">
        <v>54</v>
      </c>
      <c r="P396" s="4" t="s">
        <v>53</v>
      </c>
    </row>
    <row r="397" spans="1:16" x14ac:dyDescent="0.3">
      <c r="A397" s="2">
        <v>477</v>
      </c>
      <c r="B397" s="3">
        <v>44350</v>
      </c>
      <c r="C397" s="4" t="s">
        <v>33</v>
      </c>
      <c r="D397" s="4" t="s">
        <v>49</v>
      </c>
      <c r="E397" s="4" t="s">
        <v>18</v>
      </c>
      <c r="F397" s="2">
        <v>52</v>
      </c>
      <c r="G397" s="5">
        <v>9371</v>
      </c>
      <c r="H397" s="2">
        <v>4</v>
      </c>
      <c r="I397" s="2">
        <v>5</v>
      </c>
      <c r="J397" s="4" t="s">
        <v>19</v>
      </c>
      <c r="K397" s="4" t="s">
        <v>20</v>
      </c>
      <c r="L397" s="4" t="s">
        <v>39</v>
      </c>
      <c r="M397" s="5">
        <v>112452</v>
      </c>
      <c r="N397" s="4" t="s">
        <v>29</v>
      </c>
      <c r="O397" s="4" t="s">
        <v>54</v>
      </c>
      <c r="P397" s="4" t="s">
        <v>52</v>
      </c>
    </row>
    <row r="398" spans="1:16" x14ac:dyDescent="0.3">
      <c r="A398" s="2">
        <v>478</v>
      </c>
      <c r="B398" s="3">
        <v>44244</v>
      </c>
      <c r="C398" s="4" t="s">
        <v>25</v>
      </c>
      <c r="D398" s="4" t="s">
        <v>30</v>
      </c>
      <c r="E398" s="4" t="s">
        <v>18</v>
      </c>
      <c r="F398" s="2">
        <v>50</v>
      </c>
      <c r="G398" s="5">
        <v>13549</v>
      </c>
      <c r="H398" s="2">
        <v>5</v>
      </c>
      <c r="I398" s="2">
        <v>5</v>
      </c>
      <c r="J398" s="4" t="s">
        <v>19</v>
      </c>
      <c r="K398" s="4" t="s">
        <v>28</v>
      </c>
      <c r="L398" s="4" t="s">
        <v>43</v>
      </c>
      <c r="M398" s="5">
        <v>162588</v>
      </c>
      <c r="N398" s="4" t="s">
        <v>29</v>
      </c>
      <c r="O398" s="4" t="s">
        <v>54</v>
      </c>
      <c r="P398" s="4" t="s">
        <v>52</v>
      </c>
    </row>
    <row r="399" spans="1:16" x14ac:dyDescent="0.3">
      <c r="A399" s="2">
        <v>482</v>
      </c>
      <c r="B399" s="3">
        <v>44930</v>
      </c>
      <c r="C399" s="4" t="s">
        <v>46</v>
      </c>
      <c r="D399" s="4" t="s">
        <v>51</v>
      </c>
      <c r="E399" s="4" t="s">
        <v>18</v>
      </c>
      <c r="F399" s="2">
        <v>51</v>
      </c>
      <c r="G399" s="5">
        <v>16335</v>
      </c>
      <c r="H399" s="2">
        <v>5</v>
      </c>
      <c r="I399" s="2">
        <v>4</v>
      </c>
      <c r="J399" s="4" t="s">
        <v>35</v>
      </c>
      <c r="K399" s="4" t="s">
        <v>20</v>
      </c>
      <c r="L399" s="4" t="s">
        <v>31</v>
      </c>
      <c r="M399" s="5">
        <v>196020</v>
      </c>
      <c r="N399" s="4" t="s">
        <v>29</v>
      </c>
      <c r="O399" s="4" t="s">
        <v>54</v>
      </c>
      <c r="P399" s="4" t="s">
        <v>52</v>
      </c>
    </row>
    <row r="400" spans="1:16" x14ac:dyDescent="0.3">
      <c r="A400" s="2">
        <v>484</v>
      </c>
      <c r="B400" s="3">
        <v>42024</v>
      </c>
      <c r="C400" s="4" t="s">
        <v>44</v>
      </c>
      <c r="D400" s="4" t="s">
        <v>45</v>
      </c>
      <c r="E400" s="4" t="s">
        <v>18</v>
      </c>
      <c r="F400" s="2">
        <v>26</v>
      </c>
      <c r="G400" s="5">
        <v>5044</v>
      </c>
      <c r="H400" s="2">
        <v>3</v>
      </c>
      <c r="I400" s="2">
        <v>3</v>
      </c>
      <c r="J400" s="4" t="s">
        <v>19</v>
      </c>
      <c r="K400" s="4" t="s">
        <v>20</v>
      </c>
      <c r="L400" s="4" t="s">
        <v>43</v>
      </c>
      <c r="M400" s="5">
        <v>60528</v>
      </c>
      <c r="N400" s="4" t="s">
        <v>32</v>
      </c>
      <c r="O400" s="4" t="s">
        <v>54</v>
      </c>
      <c r="P400" s="4" t="s">
        <v>53</v>
      </c>
    </row>
    <row r="401" spans="1:16" x14ac:dyDescent="0.3">
      <c r="A401" s="2">
        <v>487</v>
      </c>
      <c r="B401" s="3">
        <v>43257</v>
      </c>
      <c r="C401" s="4" t="s">
        <v>16</v>
      </c>
      <c r="D401" s="4" t="s">
        <v>17</v>
      </c>
      <c r="E401" s="4" t="s">
        <v>27</v>
      </c>
      <c r="F401" s="2">
        <v>41</v>
      </c>
      <c r="G401" s="5">
        <v>9501</v>
      </c>
      <c r="H401" s="2">
        <v>4</v>
      </c>
      <c r="I401" s="2">
        <v>3</v>
      </c>
      <c r="J401" s="4" t="s">
        <v>19</v>
      </c>
      <c r="K401" s="4" t="s">
        <v>28</v>
      </c>
      <c r="L401" s="4" t="s">
        <v>42</v>
      </c>
      <c r="M401" s="5">
        <v>114012</v>
      </c>
      <c r="N401" s="4" t="s">
        <v>22</v>
      </c>
      <c r="O401" s="4" t="s">
        <v>54</v>
      </c>
      <c r="P401" s="4" t="s">
        <v>53</v>
      </c>
    </row>
    <row r="402" spans="1:16" x14ac:dyDescent="0.3">
      <c r="A402" s="2">
        <v>498</v>
      </c>
      <c r="B402" s="3">
        <v>44394</v>
      </c>
      <c r="C402" s="4" t="s">
        <v>46</v>
      </c>
      <c r="D402" s="4" t="s">
        <v>47</v>
      </c>
      <c r="E402" s="4" t="s">
        <v>18</v>
      </c>
      <c r="F402" s="2">
        <v>38</v>
      </c>
      <c r="G402" s="5">
        <v>10439</v>
      </c>
      <c r="H402" s="2">
        <v>6</v>
      </c>
      <c r="I402" s="2">
        <v>3</v>
      </c>
      <c r="J402" s="4" t="s">
        <v>19</v>
      </c>
      <c r="K402" s="4" t="s">
        <v>28</v>
      </c>
      <c r="L402" s="4" t="s">
        <v>31</v>
      </c>
      <c r="M402" s="5">
        <v>125268</v>
      </c>
      <c r="N402" s="4" t="s">
        <v>22</v>
      </c>
      <c r="O402" s="4" t="s">
        <v>54</v>
      </c>
      <c r="P402" s="4" t="s">
        <v>53</v>
      </c>
    </row>
    <row r="403" spans="1:16" x14ac:dyDescent="0.3">
      <c r="A403" s="2">
        <v>499</v>
      </c>
      <c r="B403" s="3">
        <v>41844</v>
      </c>
      <c r="C403" s="4" t="s">
        <v>25</v>
      </c>
      <c r="D403" s="4" t="s">
        <v>30</v>
      </c>
      <c r="E403" s="4" t="s">
        <v>18</v>
      </c>
      <c r="F403" s="2">
        <v>39</v>
      </c>
      <c r="G403" s="5">
        <v>4932</v>
      </c>
      <c r="H403" s="2">
        <v>4</v>
      </c>
      <c r="I403" s="2">
        <v>1</v>
      </c>
      <c r="J403" s="4" t="s">
        <v>35</v>
      </c>
      <c r="K403" s="4" t="s">
        <v>36</v>
      </c>
      <c r="L403" s="4" t="s">
        <v>21</v>
      </c>
      <c r="M403" s="5">
        <v>59184</v>
      </c>
      <c r="N403" s="4" t="s">
        <v>22</v>
      </c>
      <c r="O403" s="4" t="s">
        <v>54</v>
      </c>
      <c r="P403" s="4" t="s">
        <v>24</v>
      </c>
    </row>
    <row r="404" spans="1:16" x14ac:dyDescent="0.3">
      <c r="A404" s="2">
        <v>500</v>
      </c>
      <c r="B404" s="3">
        <v>41087</v>
      </c>
      <c r="C404" s="4" t="s">
        <v>37</v>
      </c>
      <c r="D404" s="4" t="s">
        <v>41</v>
      </c>
      <c r="E404" s="4" t="s">
        <v>18</v>
      </c>
      <c r="F404" s="2">
        <v>27</v>
      </c>
      <c r="G404" s="5">
        <v>15440</v>
      </c>
      <c r="H404" s="2">
        <v>6</v>
      </c>
      <c r="I404" s="2">
        <v>3</v>
      </c>
      <c r="J404" s="4" t="s">
        <v>19</v>
      </c>
      <c r="K404" s="4" t="s">
        <v>36</v>
      </c>
      <c r="L404" s="4" t="s">
        <v>21</v>
      </c>
      <c r="M404" s="5">
        <v>185280</v>
      </c>
      <c r="N404" s="4" t="s">
        <v>32</v>
      </c>
      <c r="O404" s="4" t="s">
        <v>54</v>
      </c>
      <c r="P404" s="4" t="s">
        <v>53</v>
      </c>
    </row>
    <row r="405" spans="1:16" x14ac:dyDescent="0.3">
      <c r="A405" s="2">
        <v>7</v>
      </c>
      <c r="B405" s="3">
        <v>43466</v>
      </c>
      <c r="C405" s="4" t="s">
        <v>44</v>
      </c>
      <c r="D405" s="4" t="s">
        <v>45</v>
      </c>
      <c r="E405" s="4" t="s">
        <v>18</v>
      </c>
      <c r="F405" s="2">
        <v>59</v>
      </c>
      <c r="G405" s="5">
        <v>4448</v>
      </c>
      <c r="H405" s="2">
        <v>2</v>
      </c>
      <c r="I405" s="2">
        <v>1</v>
      </c>
      <c r="J405" s="4" t="s">
        <v>19</v>
      </c>
      <c r="K405" s="4" t="s">
        <v>20</v>
      </c>
      <c r="L405" s="4" t="s">
        <v>31</v>
      </c>
      <c r="M405" s="5">
        <v>53376</v>
      </c>
      <c r="N405" s="4" t="s">
        <v>29</v>
      </c>
      <c r="O405" s="4" t="s">
        <v>55</v>
      </c>
      <c r="P405" s="4" t="s">
        <v>24</v>
      </c>
    </row>
    <row r="406" spans="1:16" x14ac:dyDescent="0.3">
      <c r="A406" s="2">
        <v>9</v>
      </c>
      <c r="B406" s="3">
        <v>44892</v>
      </c>
      <c r="C406" s="4" t="s">
        <v>44</v>
      </c>
      <c r="D406" s="4" t="s">
        <v>45</v>
      </c>
      <c r="E406" s="4" t="s">
        <v>18</v>
      </c>
      <c r="F406" s="2">
        <v>50</v>
      </c>
      <c r="G406" s="5">
        <v>10137</v>
      </c>
      <c r="H406" s="2">
        <v>0</v>
      </c>
      <c r="I406" s="2">
        <v>4</v>
      </c>
      <c r="J406" s="4" t="s">
        <v>19</v>
      </c>
      <c r="K406" s="4" t="s">
        <v>36</v>
      </c>
      <c r="L406" s="4" t="s">
        <v>39</v>
      </c>
      <c r="M406" s="5">
        <v>121644</v>
      </c>
      <c r="N406" s="4" t="s">
        <v>29</v>
      </c>
      <c r="O406" s="4" t="s">
        <v>55</v>
      </c>
      <c r="P406" s="4" t="s">
        <v>52</v>
      </c>
    </row>
    <row r="407" spans="1:16" x14ac:dyDescent="0.3">
      <c r="A407" s="2">
        <v>10</v>
      </c>
      <c r="B407" s="3">
        <v>41103</v>
      </c>
      <c r="C407" s="4" t="s">
        <v>25</v>
      </c>
      <c r="D407" s="4" t="s">
        <v>30</v>
      </c>
      <c r="E407" s="4" t="s">
        <v>18</v>
      </c>
      <c r="F407" s="2">
        <v>26</v>
      </c>
      <c r="G407" s="5">
        <v>16303</v>
      </c>
      <c r="H407" s="2">
        <v>0</v>
      </c>
      <c r="I407" s="2">
        <v>5</v>
      </c>
      <c r="J407" s="4" t="s">
        <v>19</v>
      </c>
      <c r="K407" s="4" t="s">
        <v>28</v>
      </c>
      <c r="L407" s="4" t="s">
        <v>31</v>
      </c>
      <c r="M407" s="5">
        <v>195636</v>
      </c>
      <c r="N407" s="4" t="s">
        <v>32</v>
      </c>
      <c r="O407" s="4" t="s">
        <v>55</v>
      </c>
      <c r="P407" s="4" t="s">
        <v>52</v>
      </c>
    </row>
    <row r="408" spans="1:16" x14ac:dyDescent="0.3">
      <c r="A408" s="2">
        <v>11</v>
      </c>
      <c r="B408" s="3">
        <v>45048</v>
      </c>
      <c r="C408" s="4" t="s">
        <v>33</v>
      </c>
      <c r="D408" s="4" t="s">
        <v>34</v>
      </c>
      <c r="E408" s="4" t="s">
        <v>18</v>
      </c>
      <c r="F408" s="2">
        <v>27</v>
      </c>
      <c r="G408" s="5">
        <v>9012</v>
      </c>
      <c r="H408" s="2">
        <v>0</v>
      </c>
      <c r="I408" s="2">
        <v>1</v>
      </c>
      <c r="J408" s="4" t="s">
        <v>35</v>
      </c>
      <c r="K408" s="4" t="s">
        <v>20</v>
      </c>
      <c r="L408" s="4" t="s">
        <v>21</v>
      </c>
      <c r="M408" s="5">
        <v>108144</v>
      </c>
      <c r="N408" s="4" t="s">
        <v>32</v>
      </c>
      <c r="O408" s="4" t="s">
        <v>55</v>
      </c>
      <c r="P408" s="4" t="s">
        <v>24</v>
      </c>
    </row>
    <row r="409" spans="1:16" x14ac:dyDescent="0.3">
      <c r="A409" s="2">
        <v>23</v>
      </c>
      <c r="B409" s="3">
        <v>41786</v>
      </c>
      <c r="C409" s="4" t="s">
        <v>46</v>
      </c>
      <c r="D409" s="4" t="s">
        <v>47</v>
      </c>
      <c r="E409" s="4" t="s">
        <v>27</v>
      </c>
      <c r="F409" s="2">
        <v>57</v>
      </c>
      <c r="G409" s="5">
        <v>16017</v>
      </c>
      <c r="H409" s="2">
        <v>2</v>
      </c>
      <c r="I409" s="2">
        <v>3</v>
      </c>
      <c r="J409" s="4" t="s">
        <v>35</v>
      </c>
      <c r="K409" s="4" t="s">
        <v>20</v>
      </c>
      <c r="L409" s="4" t="s">
        <v>31</v>
      </c>
      <c r="M409" s="5">
        <v>192204</v>
      </c>
      <c r="N409" s="4" t="s">
        <v>29</v>
      </c>
      <c r="O409" s="4" t="s">
        <v>55</v>
      </c>
      <c r="P409" s="4" t="s">
        <v>53</v>
      </c>
    </row>
    <row r="410" spans="1:16" x14ac:dyDescent="0.3">
      <c r="A410" s="2">
        <v>25</v>
      </c>
      <c r="B410" s="3">
        <v>40734</v>
      </c>
      <c r="C410" s="4" t="s">
        <v>33</v>
      </c>
      <c r="D410" s="4" t="s">
        <v>34</v>
      </c>
      <c r="E410" s="4" t="s">
        <v>27</v>
      </c>
      <c r="F410" s="2">
        <v>24</v>
      </c>
      <c r="G410" s="5">
        <v>12854</v>
      </c>
      <c r="H410" s="2">
        <v>2</v>
      </c>
      <c r="I410" s="2">
        <v>4</v>
      </c>
      <c r="J410" s="4" t="s">
        <v>35</v>
      </c>
      <c r="K410" s="4" t="s">
        <v>20</v>
      </c>
      <c r="L410" s="4" t="s">
        <v>43</v>
      </c>
      <c r="M410" s="5">
        <v>154248</v>
      </c>
      <c r="N410" s="4" t="s">
        <v>32</v>
      </c>
      <c r="O410" s="4" t="s">
        <v>55</v>
      </c>
      <c r="P410" s="4" t="s">
        <v>52</v>
      </c>
    </row>
    <row r="411" spans="1:16" x14ac:dyDescent="0.3">
      <c r="A411" s="2">
        <v>26</v>
      </c>
      <c r="B411" s="3">
        <v>41773</v>
      </c>
      <c r="C411" s="4" t="s">
        <v>33</v>
      </c>
      <c r="D411" s="4" t="s">
        <v>49</v>
      </c>
      <c r="E411" s="4" t="s">
        <v>27</v>
      </c>
      <c r="F411" s="2">
        <v>28</v>
      </c>
      <c r="G411" s="5">
        <v>7208</v>
      </c>
      <c r="H411" s="2">
        <v>2</v>
      </c>
      <c r="I411" s="2">
        <v>4</v>
      </c>
      <c r="J411" s="4" t="s">
        <v>35</v>
      </c>
      <c r="K411" s="4" t="s">
        <v>20</v>
      </c>
      <c r="L411" s="4" t="s">
        <v>43</v>
      </c>
      <c r="M411" s="5">
        <v>86496</v>
      </c>
      <c r="N411" s="4" t="s">
        <v>32</v>
      </c>
      <c r="O411" s="4" t="s">
        <v>55</v>
      </c>
      <c r="P411" s="4" t="s">
        <v>52</v>
      </c>
    </row>
    <row r="412" spans="1:16" x14ac:dyDescent="0.3">
      <c r="A412" s="2">
        <v>29</v>
      </c>
      <c r="B412" s="3">
        <v>44872</v>
      </c>
      <c r="C412" s="4" t="s">
        <v>25</v>
      </c>
      <c r="D412" s="4" t="s">
        <v>30</v>
      </c>
      <c r="E412" s="4" t="s">
        <v>18</v>
      </c>
      <c r="F412" s="2">
        <v>26</v>
      </c>
      <c r="G412" s="5">
        <v>17810</v>
      </c>
      <c r="H412" s="2">
        <v>1</v>
      </c>
      <c r="I412" s="2">
        <v>1</v>
      </c>
      <c r="J412" s="4" t="s">
        <v>19</v>
      </c>
      <c r="K412" s="4" t="s">
        <v>20</v>
      </c>
      <c r="L412" s="4" t="s">
        <v>39</v>
      </c>
      <c r="M412" s="5">
        <v>213720</v>
      </c>
      <c r="N412" s="4" t="s">
        <v>32</v>
      </c>
      <c r="O412" s="4" t="s">
        <v>55</v>
      </c>
      <c r="P412" s="4" t="s">
        <v>24</v>
      </c>
    </row>
    <row r="413" spans="1:16" x14ac:dyDescent="0.3">
      <c r="A413" s="2">
        <v>37</v>
      </c>
      <c r="B413" s="3">
        <v>40706</v>
      </c>
      <c r="C413" s="4" t="s">
        <v>16</v>
      </c>
      <c r="D413" s="4" t="s">
        <v>17</v>
      </c>
      <c r="E413" s="4" t="s">
        <v>18</v>
      </c>
      <c r="F413" s="2">
        <v>30</v>
      </c>
      <c r="G413" s="5">
        <v>5323</v>
      </c>
      <c r="H413" s="2">
        <v>1</v>
      </c>
      <c r="I413" s="2">
        <v>4</v>
      </c>
      <c r="J413" s="4" t="s">
        <v>19</v>
      </c>
      <c r="K413" s="4" t="s">
        <v>20</v>
      </c>
      <c r="L413" s="4" t="s">
        <v>31</v>
      </c>
      <c r="M413" s="5">
        <v>63876</v>
      </c>
      <c r="N413" s="4" t="s">
        <v>22</v>
      </c>
      <c r="O413" s="4" t="s">
        <v>55</v>
      </c>
      <c r="P413" s="4" t="s">
        <v>52</v>
      </c>
    </row>
    <row r="414" spans="1:16" x14ac:dyDescent="0.3">
      <c r="A414" s="2">
        <v>42</v>
      </c>
      <c r="B414" s="3">
        <v>43304</v>
      </c>
      <c r="C414" s="4" t="s">
        <v>46</v>
      </c>
      <c r="D414" s="4" t="s">
        <v>48</v>
      </c>
      <c r="E414" s="4" t="s">
        <v>18</v>
      </c>
      <c r="F414" s="2">
        <v>26</v>
      </c>
      <c r="G414" s="5">
        <v>7734</v>
      </c>
      <c r="H414" s="2">
        <v>1</v>
      </c>
      <c r="I414" s="2">
        <v>1</v>
      </c>
      <c r="J414" s="4" t="s">
        <v>35</v>
      </c>
      <c r="K414" s="4" t="s">
        <v>36</v>
      </c>
      <c r="L414" s="4" t="s">
        <v>42</v>
      </c>
      <c r="M414" s="5">
        <v>92808</v>
      </c>
      <c r="N414" s="4" t="s">
        <v>32</v>
      </c>
      <c r="O414" s="4" t="s">
        <v>55</v>
      </c>
      <c r="P414" s="4" t="s">
        <v>24</v>
      </c>
    </row>
    <row r="415" spans="1:16" x14ac:dyDescent="0.3">
      <c r="A415" s="2">
        <v>43</v>
      </c>
      <c r="B415" s="3">
        <v>45024</v>
      </c>
      <c r="C415" s="4" t="s">
        <v>37</v>
      </c>
      <c r="D415" s="4" t="s">
        <v>38</v>
      </c>
      <c r="E415" s="4" t="s">
        <v>18</v>
      </c>
      <c r="F415" s="2">
        <v>44</v>
      </c>
      <c r="G415" s="5">
        <v>4778</v>
      </c>
      <c r="H415" s="2">
        <v>1</v>
      </c>
      <c r="I415" s="2">
        <v>5</v>
      </c>
      <c r="J415" s="4" t="s">
        <v>35</v>
      </c>
      <c r="K415" s="4" t="s">
        <v>28</v>
      </c>
      <c r="L415" s="4" t="s">
        <v>31</v>
      </c>
      <c r="M415" s="5">
        <v>57336</v>
      </c>
      <c r="N415" s="4" t="s">
        <v>22</v>
      </c>
      <c r="O415" s="4" t="s">
        <v>55</v>
      </c>
      <c r="P415" s="4" t="s">
        <v>52</v>
      </c>
    </row>
    <row r="416" spans="1:16" x14ac:dyDescent="0.3">
      <c r="A416" s="2">
        <v>44</v>
      </c>
      <c r="B416" s="3">
        <v>43027</v>
      </c>
      <c r="C416" s="4" t="s">
        <v>33</v>
      </c>
      <c r="D416" s="4" t="s">
        <v>34</v>
      </c>
      <c r="E416" s="4" t="s">
        <v>18</v>
      </c>
      <c r="F416" s="2">
        <v>33</v>
      </c>
      <c r="G416" s="5">
        <v>11636</v>
      </c>
      <c r="H416" s="2">
        <v>0</v>
      </c>
      <c r="I416" s="2">
        <v>4</v>
      </c>
      <c r="J416" s="4" t="s">
        <v>19</v>
      </c>
      <c r="K416" s="4" t="s">
        <v>20</v>
      </c>
      <c r="L416" s="4" t="s">
        <v>42</v>
      </c>
      <c r="M416" s="5">
        <v>139632</v>
      </c>
      <c r="N416" s="4" t="s">
        <v>22</v>
      </c>
      <c r="O416" s="4" t="s">
        <v>55</v>
      </c>
      <c r="P416" s="4" t="s">
        <v>52</v>
      </c>
    </row>
    <row r="417" spans="1:16" x14ac:dyDescent="0.3">
      <c r="A417" s="2">
        <v>55</v>
      </c>
      <c r="B417" s="3">
        <v>42551</v>
      </c>
      <c r="C417" s="4" t="s">
        <v>33</v>
      </c>
      <c r="D417" s="4" t="s">
        <v>49</v>
      </c>
      <c r="E417" s="4" t="s">
        <v>27</v>
      </c>
      <c r="F417" s="2">
        <v>54</v>
      </c>
      <c r="G417" s="5">
        <v>17684</v>
      </c>
      <c r="H417" s="2">
        <v>1</v>
      </c>
      <c r="I417" s="2">
        <v>2</v>
      </c>
      <c r="J417" s="4" t="s">
        <v>35</v>
      </c>
      <c r="K417" s="4" t="s">
        <v>20</v>
      </c>
      <c r="L417" s="4" t="s">
        <v>42</v>
      </c>
      <c r="M417" s="5">
        <v>212208</v>
      </c>
      <c r="N417" s="4" t="s">
        <v>29</v>
      </c>
      <c r="O417" s="4" t="s">
        <v>55</v>
      </c>
      <c r="P417" s="4" t="s">
        <v>24</v>
      </c>
    </row>
    <row r="418" spans="1:16" x14ac:dyDescent="0.3">
      <c r="A418" s="2">
        <v>62</v>
      </c>
      <c r="B418" s="3">
        <v>43979</v>
      </c>
      <c r="C418" s="4" t="s">
        <v>16</v>
      </c>
      <c r="D418" s="4" t="s">
        <v>17</v>
      </c>
      <c r="E418" s="4" t="s">
        <v>27</v>
      </c>
      <c r="F418" s="2">
        <v>41</v>
      </c>
      <c r="G418" s="5">
        <v>7269</v>
      </c>
      <c r="H418" s="2">
        <v>0</v>
      </c>
      <c r="I418" s="2">
        <v>3</v>
      </c>
      <c r="J418" s="4" t="s">
        <v>35</v>
      </c>
      <c r="K418" s="4" t="s">
        <v>28</v>
      </c>
      <c r="L418" s="4" t="s">
        <v>21</v>
      </c>
      <c r="M418" s="5">
        <v>87228</v>
      </c>
      <c r="N418" s="4" t="s">
        <v>22</v>
      </c>
      <c r="O418" s="4" t="s">
        <v>55</v>
      </c>
      <c r="P418" s="4" t="s">
        <v>53</v>
      </c>
    </row>
    <row r="419" spans="1:16" x14ac:dyDescent="0.3">
      <c r="A419" s="2">
        <v>65</v>
      </c>
      <c r="B419" s="3">
        <v>44041</v>
      </c>
      <c r="C419" s="4" t="s">
        <v>25</v>
      </c>
      <c r="D419" s="4" t="s">
        <v>26</v>
      </c>
      <c r="E419" s="4" t="s">
        <v>18</v>
      </c>
      <c r="F419" s="2">
        <v>28</v>
      </c>
      <c r="G419" s="5">
        <v>17265</v>
      </c>
      <c r="H419" s="2">
        <v>0</v>
      </c>
      <c r="I419" s="2">
        <v>2</v>
      </c>
      <c r="J419" s="4" t="s">
        <v>19</v>
      </c>
      <c r="K419" s="4" t="s">
        <v>20</v>
      </c>
      <c r="L419" s="4" t="s">
        <v>21</v>
      </c>
      <c r="M419" s="5">
        <v>207180</v>
      </c>
      <c r="N419" s="4" t="s">
        <v>32</v>
      </c>
      <c r="O419" s="4" t="s">
        <v>55</v>
      </c>
      <c r="P419" s="4" t="s">
        <v>24</v>
      </c>
    </row>
    <row r="420" spans="1:16" x14ac:dyDescent="0.3">
      <c r="A420" s="2">
        <v>71</v>
      </c>
      <c r="B420" s="3">
        <v>42195</v>
      </c>
      <c r="C420" s="4" t="s">
        <v>33</v>
      </c>
      <c r="D420" s="4" t="s">
        <v>49</v>
      </c>
      <c r="E420" s="4" t="s">
        <v>27</v>
      </c>
      <c r="F420" s="2">
        <v>48</v>
      </c>
      <c r="G420" s="5">
        <v>6680</v>
      </c>
      <c r="H420" s="2">
        <v>2</v>
      </c>
      <c r="I420" s="2">
        <v>3</v>
      </c>
      <c r="J420" s="4" t="s">
        <v>35</v>
      </c>
      <c r="K420" s="4" t="s">
        <v>36</v>
      </c>
      <c r="L420" s="4" t="s">
        <v>21</v>
      </c>
      <c r="M420" s="5">
        <v>80160</v>
      </c>
      <c r="N420" s="4" t="s">
        <v>29</v>
      </c>
      <c r="O420" s="4" t="s">
        <v>55</v>
      </c>
      <c r="P420" s="4" t="s">
        <v>53</v>
      </c>
    </row>
    <row r="421" spans="1:16" x14ac:dyDescent="0.3">
      <c r="A421" s="2">
        <v>73</v>
      </c>
      <c r="B421" s="3">
        <v>44486</v>
      </c>
      <c r="C421" s="4" t="s">
        <v>25</v>
      </c>
      <c r="D421" s="4" t="s">
        <v>26</v>
      </c>
      <c r="E421" s="4" t="s">
        <v>27</v>
      </c>
      <c r="F421" s="2">
        <v>45</v>
      </c>
      <c r="G421" s="5">
        <v>7291</v>
      </c>
      <c r="H421" s="2">
        <v>2</v>
      </c>
      <c r="I421" s="2">
        <v>3</v>
      </c>
      <c r="J421" s="4" t="s">
        <v>19</v>
      </c>
      <c r="K421" s="4" t="s">
        <v>28</v>
      </c>
      <c r="L421" s="4" t="s">
        <v>42</v>
      </c>
      <c r="M421" s="5">
        <v>87492</v>
      </c>
      <c r="N421" s="4" t="s">
        <v>22</v>
      </c>
      <c r="O421" s="4" t="s">
        <v>55</v>
      </c>
      <c r="P421" s="4" t="s">
        <v>53</v>
      </c>
    </row>
    <row r="422" spans="1:16" x14ac:dyDescent="0.3">
      <c r="A422" s="2">
        <v>77</v>
      </c>
      <c r="B422" s="3">
        <v>42239</v>
      </c>
      <c r="C422" s="4" t="s">
        <v>16</v>
      </c>
      <c r="D422" s="4" t="s">
        <v>40</v>
      </c>
      <c r="E422" s="4" t="s">
        <v>27</v>
      </c>
      <c r="F422" s="2">
        <v>42</v>
      </c>
      <c r="G422" s="5">
        <v>4639</v>
      </c>
      <c r="H422" s="2">
        <v>0</v>
      </c>
      <c r="I422" s="2">
        <v>4</v>
      </c>
      <c r="J422" s="4" t="s">
        <v>19</v>
      </c>
      <c r="K422" s="4" t="s">
        <v>20</v>
      </c>
      <c r="L422" s="4" t="s">
        <v>31</v>
      </c>
      <c r="M422" s="5">
        <v>55668</v>
      </c>
      <c r="N422" s="4" t="s">
        <v>22</v>
      </c>
      <c r="O422" s="4" t="s">
        <v>55</v>
      </c>
      <c r="P422" s="4" t="s">
        <v>52</v>
      </c>
    </row>
    <row r="423" spans="1:16" x14ac:dyDescent="0.3">
      <c r="A423" s="2">
        <v>81</v>
      </c>
      <c r="B423" s="3">
        <v>40519</v>
      </c>
      <c r="C423" s="4" t="s">
        <v>44</v>
      </c>
      <c r="D423" s="4" t="s">
        <v>45</v>
      </c>
      <c r="E423" s="4" t="s">
        <v>27</v>
      </c>
      <c r="F423" s="2">
        <v>27</v>
      </c>
      <c r="G423" s="5">
        <v>8639</v>
      </c>
      <c r="H423" s="2">
        <v>1</v>
      </c>
      <c r="I423" s="2">
        <v>3</v>
      </c>
      <c r="J423" s="4" t="s">
        <v>35</v>
      </c>
      <c r="K423" s="4" t="s">
        <v>36</v>
      </c>
      <c r="L423" s="4" t="s">
        <v>43</v>
      </c>
      <c r="M423" s="5">
        <v>103668</v>
      </c>
      <c r="N423" s="4" t="s">
        <v>32</v>
      </c>
      <c r="O423" s="4" t="s">
        <v>55</v>
      </c>
      <c r="P423" s="4" t="s">
        <v>53</v>
      </c>
    </row>
    <row r="424" spans="1:16" x14ac:dyDescent="0.3">
      <c r="A424" s="2">
        <v>88</v>
      </c>
      <c r="B424" s="3">
        <v>44524</v>
      </c>
      <c r="C424" s="4" t="s">
        <v>16</v>
      </c>
      <c r="D424" s="4" t="s">
        <v>17</v>
      </c>
      <c r="E424" s="4" t="s">
        <v>18</v>
      </c>
      <c r="F424" s="2">
        <v>46</v>
      </c>
      <c r="G424" s="5">
        <v>14937</v>
      </c>
      <c r="H424" s="2">
        <v>2</v>
      </c>
      <c r="I424" s="2">
        <v>1</v>
      </c>
      <c r="J424" s="4" t="s">
        <v>19</v>
      </c>
      <c r="K424" s="4" t="s">
        <v>20</v>
      </c>
      <c r="L424" s="4" t="s">
        <v>31</v>
      </c>
      <c r="M424" s="5">
        <v>179244</v>
      </c>
      <c r="N424" s="4" t="s">
        <v>29</v>
      </c>
      <c r="O424" s="4" t="s">
        <v>55</v>
      </c>
      <c r="P424" s="4" t="s">
        <v>24</v>
      </c>
    </row>
    <row r="425" spans="1:16" x14ac:dyDescent="0.3">
      <c r="A425" s="2">
        <v>92</v>
      </c>
      <c r="B425" s="3">
        <v>42469</v>
      </c>
      <c r="C425" s="4" t="s">
        <v>33</v>
      </c>
      <c r="D425" s="4" t="s">
        <v>49</v>
      </c>
      <c r="E425" s="4" t="s">
        <v>18</v>
      </c>
      <c r="F425" s="2">
        <v>38</v>
      </c>
      <c r="G425" s="5">
        <v>16396</v>
      </c>
      <c r="H425" s="2">
        <v>2</v>
      </c>
      <c r="I425" s="2">
        <v>2</v>
      </c>
      <c r="J425" s="4" t="s">
        <v>35</v>
      </c>
      <c r="K425" s="4" t="s">
        <v>20</v>
      </c>
      <c r="L425" s="4" t="s">
        <v>21</v>
      </c>
      <c r="M425" s="5">
        <v>196752</v>
      </c>
      <c r="N425" s="4" t="s">
        <v>22</v>
      </c>
      <c r="O425" s="4" t="s">
        <v>55</v>
      </c>
      <c r="P425" s="4" t="s">
        <v>24</v>
      </c>
    </row>
    <row r="426" spans="1:16" x14ac:dyDescent="0.3">
      <c r="A426" s="2">
        <v>93</v>
      </c>
      <c r="B426" s="3">
        <v>40794</v>
      </c>
      <c r="C426" s="4" t="s">
        <v>33</v>
      </c>
      <c r="D426" s="4" t="s">
        <v>34</v>
      </c>
      <c r="E426" s="4" t="s">
        <v>27</v>
      </c>
      <c r="F426" s="2">
        <v>24</v>
      </c>
      <c r="G426" s="5">
        <v>14159</v>
      </c>
      <c r="H426" s="2">
        <v>2</v>
      </c>
      <c r="I426" s="2">
        <v>3</v>
      </c>
      <c r="J426" s="4" t="s">
        <v>19</v>
      </c>
      <c r="K426" s="4" t="s">
        <v>36</v>
      </c>
      <c r="L426" s="4" t="s">
        <v>31</v>
      </c>
      <c r="M426" s="5">
        <v>169908</v>
      </c>
      <c r="N426" s="4" t="s">
        <v>32</v>
      </c>
      <c r="O426" s="4" t="s">
        <v>55</v>
      </c>
      <c r="P426" s="4" t="s">
        <v>53</v>
      </c>
    </row>
    <row r="427" spans="1:16" x14ac:dyDescent="0.3">
      <c r="A427" s="2">
        <v>99</v>
      </c>
      <c r="B427" s="3">
        <v>44237</v>
      </c>
      <c r="C427" s="4" t="s">
        <v>44</v>
      </c>
      <c r="D427" s="4" t="s">
        <v>50</v>
      </c>
      <c r="E427" s="4" t="s">
        <v>27</v>
      </c>
      <c r="F427" s="2">
        <v>22</v>
      </c>
      <c r="G427" s="5">
        <v>16208</v>
      </c>
      <c r="H427" s="2">
        <v>0</v>
      </c>
      <c r="I427" s="2">
        <v>5</v>
      </c>
      <c r="J427" s="4" t="s">
        <v>19</v>
      </c>
      <c r="K427" s="4" t="s">
        <v>20</v>
      </c>
      <c r="L427" s="4" t="s">
        <v>21</v>
      </c>
      <c r="M427" s="5">
        <v>194496</v>
      </c>
      <c r="N427" s="4" t="s">
        <v>32</v>
      </c>
      <c r="O427" s="4" t="s">
        <v>55</v>
      </c>
      <c r="P427" s="4" t="s">
        <v>52</v>
      </c>
    </row>
    <row r="428" spans="1:16" x14ac:dyDescent="0.3">
      <c r="A428" s="2">
        <v>102</v>
      </c>
      <c r="B428" s="3">
        <v>44496</v>
      </c>
      <c r="C428" s="4" t="s">
        <v>25</v>
      </c>
      <c r="D428" s="4" t="s">
        <v>30</v>
      </c>
      <c r="E428" s="4" t="s">
        <v>27</v>
      </c>
      <c r="F428" s="2">
        <v>28</v>
      </c>
      <c r="G428" s="5">
        <v>8739</v>
      </c>
      <c r="H428" s="2">
        <v>2</v>
      </c>
      <c r="I428" s="2">
        <v>2</v>
      </c>
      <c r="J428" s="4" t="s">
        <v>19</v>
      </c>
      <c r="K428" s="4" t="s">
        <v>28</v>
      </c>
      <c r="L428" s="4" t="s">
        <v>43</v>
      </c>
      <c r="M428" s="5">
        <v>104868</v>
      </c>
      <c r="N428" s="4" t="s">
        <v>32</v>
      </c>
      <c r="O428" s="4" t="s">
        <v>55</v>
      </c>
      <c r="P428" s="4" t="s">
        <v>24</v>
      </c>
    </row>
    <row r="429" spans="1:16" x14ac:dyDescent="0.3">
      <c r="A429" s="2">
        <v>113</v>
      </c>
      <c r="B429" s="3">
        <v>40272</v>
      </c>
      <c r="C429" s="4" t="s">
        <v>16</v>
      </c>
      <c r="D429" s="4" t="s">
        <v>40</v>
      </c>
      <c r="E429" s="4" t="s">
        <v>18</v>
      </c>
      <c r="F429" s="2">
        <v>52</v>
      </c>
      <c r="G429" s="5">
        <v>19668</v>
      </c>
      <c r="H429" s="2">
        <v>2</v>
      </c>
      <c r="I429" s="2">
        <v>3</v>
      </c>
      <c r="J429" s="4" t="s">
        <v>19</v>
      </c>
      <c r="K429" s="4" t="s">
        <v>36</v>
      </c>
      <c r="L429" s="4" t="s">
        <v>39</v>
      </c>
      <c r="M429" s="5">
        <v>236016</v>
      </c>
      <c r="N429" s="4" t="s">
        <v>29</v>
      </c>
      <c r="O429" s="4" t="s">
        <v>55</v>
      </c>
      <c r="P429" s="4" t="s">
        <v>53</v>
      </c>
    </row>
    <row r="430" spans="1:16" x14ac:dyDescent="0.3">
      <c r="A430" s="2">
        <v>118</v>
      </c>
      <c r="B430" s="3">
        <v>43624</v>
      </c>
      <c r="C430" s="4" t="s">
        <v>37</v>
      </c>
      <c r="D430" s="4" t="s">
        <v>41</v>
      </c>
      <c r="E430" s="4" t="s">
        <v>18</v>
      </c>
      <c r="F430" s="2">
        <v>39</v>
      </c>
      <c r="G430" s="5">
        <v>16040</v>
      </c>
      <c r="H430" s="2">
        <v>0</v>
      </c>
      <c r="I430" s="2">
        <v>1</v>
      </c>
      <c r="J430" s="4" t="s">
        <v>35</v>
      </c>
      <c r="K430" s="4" t="s">
        <v>36</v>
      </c>
      <c r="L430" s="4" t="s">
        <v>31</v>
      </c>
      <c r="M430" s="5">
        <v>192480</v>
      </c>
      <c r="N430" s="4" t="s">
        <v>22</v>
      </c>
      <c r="O430" s="4" t="s">
        <v>55</v>
      </c>
      <c r="P430" s="4" t="s">
        <v>24</v>
      </c>
    </row>
    <row r="431" spans="1:16" x14ac:dyDescent="0.3">
      <c r="A431" s="2">
        <v>126</v>
      </c>
      <c r="B431" s="3">
        <v>40800</v>
      </c>
      <c r="C431" s="4" t="s">
        <v>16</v>
      </c>
      <c r="D431" s="4" t="s">
        <v>40</v>
      </c>
      <c r="E431" s="4" t="s">
        <v>27</v>
      </c>
      <c r="F431" s="2">
        <v>60</v>
      </c>
      <c r="G431" s="5">
        <v>10297</v>
      </c>
      <c r="H431" s="2">
        <v>1</v>
      </c>
      <c r="I431" s="2">
        <v>4</v>
      </c>
      <c r="J431" s="4" t="s">
        <v>35</v>
      </c>
      <c r="K431" s="4" t="s">
        <v>20</v>
      </c>
      <c r="L431" s="4" t="s">
        <v>39</v>
      </c>
      <c r="M431" s="5">
        <v>123564</v>
      </c>
      <c r="N431" s="4" t="s">
        <v>29</v>
      </c>
      <c r="O431" s="4" t="s">
        <v>55</v>
      </c>
      <c r="P431" s="4" t="s">
        <v>52</v>
      </c>
    </row>
    <row r="432" spans="1:16" x14ac:dyDescent="0.3">
      <c r="A432" s="2">
        <v>139</v>
      </c>
      <c r="B432" s="3">
        <v>42346</v>
      </c>
      <c r="C432" s="4" t="s">
        <v>16</v>
      </c>
      <c r="D432" s="4" t="s">
        <v>40</v>
      </c>
      <c r="E432" s="4" t="s">
        <v>27</v>
      </c>
      <c r="F432" s="2">
        <v>53</v>
      </c>
      <c r="G432" s="5">
        <v>13871</v>
      </c>
      <c r="H432" s="2">
        <v>1</v>
      </c>
      <c r="I432" s="2">
        <v>5</v>
      </c>
      <c r="J432" s="4" t="s">
        <v>19</v>
      </c>
      <c r="K432" s="4" t="s">
        <v>28</v>
      </c>
      <c r="L432" s="4" t="s">
        <v>39</v>
      </c>
      <c r="M432" s="5">
        <v>166452</v>
      </c>
      <c r="N432" s="4" t="s">
        <v>29</v>
      </c>
      <c r="O432" s="4" t="s">
        <v>55</v>
      </c>
      <c r="P432" s="4" t="s">
        <v>52</v>
      </c>
    </row>
    <row r="433" spans="1:16" x14ac:dyDescent="0.3">
      <c r="A433" s="2">
        <v>149</v>
      </c>
      <c r="B433" s="3">
        <v>43923</v>
      </c>
      <c r="C433" s="4" t="s">
        <v>37</v>
      </c>
      <c r="D433" s="4" t="s">
        <v>38</v>
      </c>
      <c r="E433" s="4" t="s">
        <v>27</v>
      </c>
      <c r="F433" s="2">
        <v>29</v>
      </c>
      <c r="G433" s="5">
        <v>13580</v>
      </c>
      <c r="H433" s="2">
        <v>2</v>
      </c>
      <c r="I433" s="2">
        <v>2</v>
      </c>
      <c r="J433" s="4" t="s">
        <v>35</v>
      </c>
      <c r="K433" s="4" t="s">
        <v>28</v>
      </c>
      <c r="L433" s="4" t="s">
        <v>42</v>
      </c>
      <c r="M433" s="5">
        <v>162960</v>
      </c>
      <c r="N433" s="4" t="s">
        <v>32</v>
      </c>
      <c r="O433" s="4" t="s">
        <v>55</v>
      </c>
      <c r="P433" s="4" t="s">
        <v>24</v>
      </c>
    </row>
    <row r="434" spans="1:16" x14ac:dyDescent="0.3">
      <c r="A434" s="2">
        <v>159</v>
      </c>
      <c r="B434" s="3">
        <v>41497</v>
      </c>
      <c r="C434" s="4" t="s">
        <v>37</v>
      </c>
      <c r="D434" s="4" t="s">
        <v>38</v>
      </c>
      <c r="E434" s="4" t="s">
        <v>18</v>
      </c>
      <c r="F434" s="2">
        <v>53</v>
      </c>
      <c r="G434" s="5">
        <v>15840</v>
      </c>
      <c r="H434" s="2">
        <v>0</v>
      </c>
      <c r="I434" s="2">
        <v>3</v>
      </c>
      <c r="J434" s="4" t="s">
        <v>19</v>
      </c>
      <c r="K434" s="4" t="s">
        <v>36</v>
      </c>
      <c r="L434" s="4" t="s">
        <v>39</v>
      </c>
      <c r="M434" s="5">
        <v>190080</v>
      </c>
      <c r="N434" s="4" t="s">
        <v>29</v>
      </c>
      <c r="O434" s="4" t="s">
        <v>55</v>
      </c>
      <c r="P434" s="4" t="s">
        <v>53</v>
      </c>
    </row>
    <row r="435" spans="1:16" x14ac:dyDescent="0.3">
      <c r="A435" s="2">
        <v>161</v>
      </c>
      <c r="B435" s="3">
        <v>43855</v>
      </c>
      <c r="C435" s="4" t="s">
        <v>25</v>
      </c>
      <c r="D435" s="4" t="s">
        <v>30</v>
      </c>
      <c r="E435" s="4" t="s">
        <v>27</v>
      </c>
      <c r="F435" s="2">
        <v>59</v>
      </c>
      <c r="G435" s="5">
        <v>8938</v>
      </c>
      <c r="H435" s="2">
        <v>1</v>
      </c>
      <c r="I435" s="2">
        <v>5</v>
      </c>
      <c r="J435" s="4" t="s">
        <v>19</v>
      </c>
      <c r="K435" s="4" t="s">
        <v>36</v>
      </c>
      <c r="L435" s="4" t="s">
        <v>39</v>
      </c>
      <c r="M435" s="5">
        <v>107256</v>
      </c>
      <c r="N435" s="4" t="s">
        <v>29</v>
      </c>
      <c r="O435" s="4" t="s">
        <v>55</v>
      </c>
      <c r="P435" s="4" t="s">
        <v>52</v>
      </c>
    </row>
    <row r="436" spans="1:16" x14ac:dyDescent="0.3">
      <c r="A436" s="2">
        <v>162</v>
      </c>
      <c r="B436" s="3">
        <v>43544</v>
      </c>
      <c r="C436" s="4" t="s">
        <v>37</v>
      </c>
      <c r="D436" s="4" t="s">
        <v>38</v>
      </c>
      <c r="E436" s="4" t="s">
        <v>27</v>
      </c>
      <c r="F436" s="2">
        <v>32</v>
      </c>
      <c r="G436" s="5">
        <v>5491</v>
      </c>
      <c r="H436" s="2">
        <v>1</v>
      </c>
      <c r="I436" s="2">
        <v>2</v>
      </c>
      <c r="J436" s="4" t="s">
        <v>19</v>
      </c>
      <c r="K436" s="4" t="s">
        <v>28</v>
      </c>
      <c r="L436" s="4" t="s">
        <v>31</v>
      </c>
      <c r="M436" s="5">
        <v>65892</v>
      </c>
      <c r="N436" s="4" t="s">
        <v>22</v>
      </c>
      <c r="O436" s="4" t="s">
        <v>55</v>
      </c>
      <c r="P436" s="4" t="s">
        <v>24</v>
      </c>
    </row>
    <row r="437" spans="1:16" x14ac:dyDescent="0.3">
      <c r="A437" s="2">
        <v>164</v>
      </c>
      <c r="B437" s="3">
        <v>40251</v>
      </c>
      <c r="C437" s="4" t="s">
        <v>33</v>
      </c>
      <c r="D437" s="4" t="s">
        <v>34</v>
      </c>
      <c r="E437" s="4" t="s">
        <v>18</v>
      </c>
      <c r="F437" s="2">
        <v>40</v>
      </c>
      <c r="G437" s="5">
        <v>15785</v>
      </c>
      <c r="H437" s="2">
        <v>2</v>
      </c>
      <c r="I437" s="2">
        <v>2</v>
      </c>
      <c r="J437" s="4" t="s">
        <v>19</v>
      </c>
      <c r="K437" s="4" t="s">
        <v>36</v>
      </c>
      <c r="L437" s="4" t="s">
        <v>31</v>
      </c>
      <c r="M437" s="5">
        <v>189420</v>
      </c>
      <c r="N437" s="4" t="s">
        <v>22</v>
      </c>
      <c r="O437" s="4" t="s">
        <v>55</v>
      </c>
      <c r="P437" s="4" t="s">
        <v>24</v>
      </c>
    </row>
    <row r="438" spans="1:16" x14ac:dyDescent="0.3">
      <c r="A438" s="2">
        <v>166</v>
      </c>
      <c r="B438" s="3">
        <v>40835</v>
      </c>
      <c r="C438" s="4" t="s">
        <v>25</v>
      </c>
      <c r="D438" s="4" t="s">
        <v>30</v>
      </c>
      <c r="E438" s="4" t="s">
        <v>27</v>
      </c>
      <c r="F438" s="2">
        <v>46</v>
      </c>
      <c r="G438" s="5">
        <v>8526</v>
      </c>
      <c r="H438" s="2">
        <v>0</v>
      </c>
      <c r="I438" s="2">
        <v>3</v>
      </c>
      <c r="J438" s="4" t="s">
        <v>19</v>
      </c>
      <c r="K438" s="4" t="s">
        <v>36</v>
      </c>
      <c r="L438" s="4" t="s">
        <v>21</v>
      </c>
      <c r="M438" s="5">
        <v>102312</v>
      </c>
      <c r="N438" s="4" t="s">
        <v>29</v>
      </c>
      <c r="O438" s="4" t="s">
        <v>55</v>
      </c>
      <c r="P438" s="4" t="s">
        <v>53</v>
      </c>
    </row>
    <row r="439" spans="1:16" x14ac:dyDescent="0.3">
      <c r="A439" s="2">
        <v>172</v>
      </c>
      <c r="B439" s="3">
        <v>41365</v>
      </c>
      <c r="C439" s="4" t="s">
        <v>16</v>
      </c>
      <c r="D439" s="4" t="s">
        <v>17</v>
      </c>
      <c r="E439" s="4" t="s">
        <v>18</v>
      </c>
      <c r="F439" s="2">
        <v>38</v>
      </c>
      <c r="G439" s="5">
        <v>4363</v>
      </c>
      <c r="H439" s="2">
        <v>1</v>
      </c>
      <c r="I439" s="2">
        <v>5</v>
      </c>
      <c r="J439" s="4" t="s">
        <v>35</v>
      </c>
      <c r="K439" s="4" t="s">
        <v>20</v>
      </c>
      <c r="L439" s="4" t="s">
        <v>42</v>
      </c>
      <c r="M439" s="5">
        <v>52356</v>
      </c>
      <c r="N439" s="4" t="s">
        <v>22</v>
      </c>
      <c r="O439" s="4" t="s">
        <v>55</v>
      </c>
      <c r="P439" s="4" t="s">
        <v>52</v>
      </c>
    </row>
    <row r="440" spans="1:16" x14ac:dyDescent="0.3">
      <c r="A440" s="2">
        <v>197</v>
      </c>
      <c r="B440" s="3">
        <v>43145</v>
      </c>
      <c r="C440" s="4" t="s">
        <v>46</v>
      </c>
      <c r="D440" s="4" t="s">
        <v>47</v>
      </c>
      <c r="E440" s="4" t="s">
        <v>18</v>
      </c>
      <c r="F440" s="2">
        <v>24</v>
      </c>
      <c r="G440" s="5">
        <v>5215</v>
      </c>
      <c r="H440" s="2">
        <v>1</v>
      </c>
      <c r="I440" s="2">
        <v>4</v>
      </c>
      <c r="J440" s="4" t="s">
        <v>35</v>
      </c>
      <c r="K440" s="4" t="s">
        <v>20</v>
      </c>
      <c r="L440" s="4" t="s">
        <v>31</v>
      </c>
      <c r="M440" s="5">
        <v>62580</v>
      </c>
      <c r="N440" s="4" t="s">
        <v>32</v>
      </c>
      <c r="O440" s="4" t="s">
        <v>55</v>
      </c>
      <c r="P440" s="4" t="s">
        <v>52</v>
      </c>
    </row>
    <row r="441" spans="1:16" x14ac:dyDescent="0.3">
      <c r="A441" s="2">
        <v>201</v>
      </c>
      <c r="B441" s="3">
        <v>42562</v>
      </c>
      <c r="C441" s="4" t="s">
        <v>37</v>
      </c>
      <c r="D441" s="4" t="s">
        <v>38</v>
      </c>
      <c r="E441" s="4" t="s">
        <v>27</v>
      </c>
      <c r="F441" s="2">
        <v>23</v>
      </c>
      <c r="G441" s="5">
        <v>11129</v>
      </c>
      <c r="H441" s="2">
        <v>2</v>
      </c>
      <c r="I441" s="2">
        <v>4</v>
      </c>
      <c r="J441" s="4" t="s">
        <v>35</v>
      </c>
      <c r="K441" s="4" t="s">
        <v>36</v>
      </c>
      <c r="L441" s="4" t="s">
        <v>39</v>
      </c>
      <c r="M441" s="5">
        <v>133548</v>
      </c>
      <c r="N441" s="4" t="s">
        <v>32</v>
      </c>
      <c r="O441" s="4" t="s">
        <v>55</v>
      </c>
      <c r="P441" s="4" t="s">
        <v>52</v>
      </c>
    </row>
    <row r="442" spans="1:16" x14ac:dyDescent="0.3">
      <c r="A442" s="2">
        <v>205</v>
      </c>
      <c r="B442" s="3">
        <v>42526</v>
      </c>
      <c r="C442" s="4" t="s">
        <v>25</v>
      </c>
      <c r="D442" s="4" t="s">
        <v>30</v>
      </c>
      <c r="E442" s="4" t="s">
        <v>27</v>
      </c>
      <c r="F442" s="2">
        <v>59</v>
      </c>
      <c r="G442" s="5">
        <v>7685</v>
      </c>
      <c r="H442" s="2">
        <v>0</v>
      </c>
      <c r="I442" s="2">
        <v>2</v>
      </c>
      <c r="J442" s="4" t="s">
        <v>19</v>
      </c>
      <c r="K442" s="4" t="s">
        <v>28</v>
      </c>
      <c r="L442" s="4" t="s">
        <v>21</v>
      </c>
      <c r="M442" s="5">
        <v>92220</v>
      </c>
      <c r="N442" s="4" t="s">
        <v>29</v>
      </c>
      <c r="O442" s="4" t="s">
        <v>55</v>
      </c>
      <c r="P442" s="4" t="s">
        <v>24</v>
      </c>
    </row>
    <row r="443" spans="1:16" x14ac:dyDescent="0.3">
      <c r="A443" s="2">
        <v>209</v>
      </c>
      <c r="B443" s="3">
        <v>42556</v>
      </c>
      <c r="C443" s="4" t="s">
        <v>33</v>
      </c>
      <c r="D443" s="4" t="s">
        <v>49</v>
      </c>
      <c r="E443" s="4" t="s">
        <v>27</v>
      </c>
      <c r="F443" s="2">
        <v>22</v>
      </c>
      <c r="G443" s="5">
        <v>8534</v>
      </c>
      <c r="H443" s="2">
        <v>0</v>
      </c>
      <c r="I443" s="2">
        <v>2</v>
      </c>
      <c r="J443" s="4" t="s">
        <v>35</v>
      </c>
      <c r="K443" s="4" t="s">
        <v>20</v>
      </c>
      <c r="L443" s="4" t="s">
        <v>39</v>
      </c>
      <c r="M443" s="5">
        <v>102408</v>
      </c>
      <c r="N443" s="4" t="s">
        <v>32</v>
      </c>
      <c r="O443" s="4" t="s">
        <v>55</v>
      </c>
      <c r="P443" s="4" t="s">
        <v>24</v>
      </c>
    </row>
    <row r="444" spans="1:16" x14ac:dyDescent="0.3">
      <c r="A444" s="2">
        <v>211</v>
      </c>
      <c r="B444" s="3">
        <v>40436</v>
      </c>
      <c r="C444" s="4" t="s">
        <v>16</v>
      </c>
      <c r="D444" s="4" t="s">
        <v>17</v>
      </c>
      <c r="E444" s="4" t="s">
        <v>18</v>
      </c>
      <c r="F444" s="2">
        <v>58</v>
      </c>
      <c r="G444" s="5">
        <v>17345</v>
      </c>
      <c r="H444" s="2">
        <v>1</v>
      </c>
      <c r="I444" s="2">
        <v>2</v>
      </c>
      <c r="J444" s="4" t="s">
        <v>35</v>
      </c>
      <c r="K444" s="4" t="s">
        <v>36</v>
      </c>
      <c r="L444" s="4" t="s">
        <v>21</v>
      </c>
      <c r="M444" s="5">
        <v>208140</v>
      </c>
      <c r="N444" s="4" t="s">
        <v>29</v>
      </c>
      <c r="O444" s="4" t="s">
        <v>55</v>
      </c>
      <c r="P444" s="4" t="s">
        <v>24</v>
      </c>
    </row>
    <row r="445" spans="1:16" x14ac:dyDescent="0.3">
      <c r="A445" s="2">
        <v>217</v>
      </c>
      <c r="B445" s="3">
        <v>41645</v>
      </c>
      <c r="C445" s="4" t="s">
        <v>46</v>
      </c>
      <c r="D445" s="4" t="s">
        <v>48</v>
      </c>
      <c r="E445" s="4" t="s">
        <v>27</v>
      </c>
      <c r="F445" s="2">
        <v>58</v>
      </c>
      <c r="G445" s="5">
        <v>6491</v>
      </c>
      <c r="H445" s="2">
        <v>2</v>
      </c>
      <c r="I445" s="2">
        <v>5</v>
      </c>
      <c r="J445" s="4" t="s">
        <v>35</v>
      </c>
      <c r="K445" s="4" t="s">
        <v>28</v>
      </c>
      <c r="L445" s="4" t="s">
        <v>31</v>
      </c>
      <c r="M445" s="5">
        <v>77892</v>
      </c>
      <c r="N445" s="4" t="s">
        <v>29</v>
      </c>
      <c r="O445" s="4" t="s">
        <v>55</v>
      </c>
      <c r="P445" s="4" t="s">
        <v>52</v>
      </c>
    </row>
    <row r="446" spans="1:16" x14ac:dyDescent="0.3">
      <c r="A446" s="2">
        <v>222</v>
      </c>
      <c r="B446" s="3">
        <v>41905</v>
      </c>
      <c r="C446" s="4" t="s">
        <v>33</v>
      </c>
      <c r="D446" s="4" t="s">
        <v>34</v>
      </c>
      <c r="E446" s="4" t="s">
        <v>18</v>
      </c>
      <c r="F446" s="2">
        <v>27</v>
      </c>
      <c r="G446" s="5">
        <v>9376</v>
      </c>
      <c r="H446" s="2">
        <v>1</v>
      </c>
      <c r="I446" s="2">
        <v>2</v>
      </c>
      <c r="J446" s="4" t="s">
        <v>19</v>
      </c>
      <c r="K446" s="4" t="s">
        <v>36</v>
      </c>
      <c r="L446" s="4" t="s">
        <v>39</v>
      </c>
      <c r="M446" s="5">
        <v>112512</v>
      </c>
      <c r="N446" s="4" t="s">
        <v>32</v>
      </c>
      <c r="O446" s="4" t="s">
        <v>55</v>
      </c>
      <c r="P446" s="4" t="s">
        <v>24</v>
      </c>
    </row>
    <row r="447" spans="1:16" x14ac:dyDescent="0.3">
      <c r="A447" s="2">
        <v>228</v>
      </c>
      <c r="B447" s="3">
        <v>40822</v>
      </c>
      <c r="C447" s="4" t="s">
        <v>37</v>
      </c>
      <c r="D447" s="4" t="s">
        <v>38</v>
      </c>
      <c r="E447" s="4" t="s">
        <v>18</v>
      </c>
      <c r="F447" s="2">
        <v>28</v>
      </c>
      <c r="G447" s="5">
        <v>8807</v>
      </c>
      <c r="H447" s="2">
        <v>1</v>
      </c>
      <c r="I447" s="2">
        <v>3</v>
      </c>
      <c r="J447" s="4" t="s">
        <v>19</v>
      </c>
      <c r="K447" s="4" t="s">
        <v>36</v>
      </c>
      <c r="L447" s="4" t="s">
        <v>31</v>
      </c>
      <c r="M447" s="5">
        <v>105684</v>
      </c>
      <c r="N447" s="4" t="s">
        <v>32</v>
      </c>
      <c r="O447" s="4" t="s">
        <v>55</v>
      </c>
      <c r="P447" s="4" t="s">
        <v>53</v>
      </c>
    </row>
    <row r="448" spans="1:16" x14ac:dyDescent="0.3">
      <c r="A448" s="2">
        <v>240</v>
      </c>
      <c r="B448" s="3">
        <v>44097</v>
      </c>
      <c r="C448" s="4" t="s">
        <v>16</v>
      </c>
      <c r="D448" s="4" t="s">
        <v>17</v>
      </c>
      <c r="E448" s="4" t="s">
        <v>27</v>
      </c>
      <c r="F448" s="2">
        <v>29</v>
      </c>
      <c r="G448" s="5">
        <v>4079</v>
      </c>
      <c r="H448" s="2">
        <v>1</v>
      </c>
      <c r="I448" s="2">
        <v>1</v>
      </c>
      <c r="J448" s="4" t="s">
        <v>19</v>
      </c>
      <c r="K448" s="4" t="s">
        <v>28</v>
      </c>
      <c r="L448" s="4" t="s">
        <v>31</v>
      </c>
      <c r="M448" s="5">
        <v>48948</v>
      </c>
      <c r="N448" s="4" t="s">
        <v>32</v>
      </c>
      <c r="O448" s="4" t="s">
        <v>55</v>
      </c>
      <c r="P448" s="4" t="s">
        <v>24</v>
      </c>
    </row>
    <row r="449" spans="1:16" x14ac:dyDescent="0.3">
      <c r="A449" s="2">
        <v>245</v>
      </c>
      <c r="B449" s="3">
        <v>44828</v>
      </c>
      <c r="C449" s="4" t="s">
        <v>33</v>
      </c>
      <c r="D449" s="4" t="s">
        <v>49</v>
      </c>
      <c r="E449" s="4" t="s">
        <v>18</v>
      </c>
      <c r="F449" s="2">
        <v>29</v>
      </c>
      <c r="G449" s="5">
        <v>16879</v>
      </c>
      <c r="H449" s="2">
        <v>0</v>
      </c>
      <c r="I449" s="2">
        <v>3</v>
      </c>
      <c r="J449" s="4" t="s">
        <v>19</v>
      </c>
      <c r="K449" s="4" t="s">
        <v>20</v>
      </c>
      <c r="L449" s="4" t="s">
        <v>31</v>
      </c>
      <c r="M449" s="5">
        <v>202548</v>
      </c>
      <c r="N449" s="4" t="s">
        <v>32</v>
      </c>
      <c r="O449" s="4" t="s">
        <v>55</v>
      </c>
      <c r="P449" s="4" t="s">
        <v>53</v>
      </c>
    </row>
    <row r="450" spans="1:16" x14ac:dyDescent="0.3">
      <c r="A450" s="2">
        <v>254</v>
      </c>
      <c r="B450" s="3">
        <v>43447</v>
      </c>
      <c r="C450" s="4" t="s">
        <v>37</v>
      </c>
      <c r="D450" s="4" t="s">
        <v>38</v>
      </c>
      <c r="E450" s="4" t="s">
        <v>18</v>
      </c>
      <c r="F450" s="2">
        <v>41</v>
      </c>
      <c r="G450" s="5">
        <v>18424</v>
      </c>
      <c r="H450" s="2">
        <v>0</v>
      </c>
      <c r="I450" s="2">
        <v>2</v>
      </c>
      <c r="J450" s="4" t="s">
        <v>19</v>
      </c>
      <c r="K450" s="4" t="s">
        <v>20</v>
      </c>
      <c r="L450" s="4" t="s">
        <v>39</v>
      </c>
      <c r="M450" s="5">
        <v>221088</v>
      </c>
      <c r="N450" s="4" t="s">
        <v>22</v>
      </c>
      <c r="O450" s="4" t="s">
        <v>55</v>
      </c>
      <c r="P450" s="4" t="s">
        <v>24</v>
      </c>
    </row>
    <row r="451" spans="1:16" x14ac:dyDescent="0.3">
      <c r="A451" s="2">
        <v>259</v>
      </c>
      <c r="B451" s="3">
        <v>44049</v>
      </c>
      <c r="C451" s="4" t="s">
        <v>44</v>
      </c>
      <c r="D451" s="4" t="s">
        <v>45</v>
      </c>
      <c r="E451" s="4" t="s">
        <v>27</v>
      </c>
      <c r="F451" s="2">
        <v>43</v>
      </c>
      <c r="G451" s="5">
        <v>12508</v>
      </c>
      <c r="H451" s="2">
        <v>2</v>
      </c>
      <c r="I451" s="2">
        <v>4</v>
      </c>
      <c r="J451" s="4" t="s">
        <v>19</v>
      </c>
      <c r="K451" s="4" t="s">
        <v>36</v>
      </c>
      <c r="L451" s="4" t="s">
        <v>39</v>
      </c>
      <c r="M451" s="5">
        <v>150096</v>
      </c>
      <c r="N451" s="4" t="s">
        <v>22</v>
      </c>
      <c r="O451" s="4" t="s">
        <v>55</v>
      </c>
      <c r="P451" s="4" t="s">
        <v>52</v>
      </c>
    </row>
    <row r="452" spans="1:16" x14ac:dyDescent="0.3">
      <c r="A452" s="2">
        <v>260</v>
      </c>
      <c r="B452" s="3">
        <v>43726</v>
      </c>
      <c r="C452" s="4" t="s">
        <v>44</v>
      </c>
      <c r="D452" s="4" t="s">
        <v>45</v>
      </c>
      <c r="E452" s="4" t="s">
        <v>18</v>
      </c>
      <c r="F452" s="2">
        <v>55</v>
      </c>
      <c r="G452" s="5">
        <v>8049</v>
      </c>
      <c r="H452" s="2">
        <v>2</v>
      </c>
      <c r="I452" s="2">
        <v>4</v>
      </c>
      <c r="J452" s="4" t="s">
        <v>35</v>
      </c>
      <c r="K452" s="4" t="s">
        <v>28</v>
      </c>
      <c r="L452" s="4" t="s">
        <v>31</v>
      </c>
      <c r="M452" s="5">
        <v>96588</v>
      </c>
      <c r="N452" s="4" t="s">
        <v>29</v>
      </c>
      <c r="O452" s="4" t="s">
        <v>55</v>
      </c>
      <c r="P452" s="4" t="s">
        <v>52</v>
      </c>
    </row>
    <row r="453" spans="1:16" x14ac:dyDescent="0.3">
      <c r="A453" s="2">
        <v>263</v>
      </c>
      <c r="B453" s="3">
        <v>44321</v>
      </c>
      <c r="C453" s="4" t="s">
        <v>25</v>
      </c>
      <c r="D453" s="4" t="s">
        <v>26</v>
      </c>
      <c r="E453" s="4" t="s">
        <v>18</v>
      </c>
      <c r="F453" s="2">
        <v>60</v>
      </c>
      <c r="G453" s="5">
        <v>9623</v>
      </c>
      <c r="H453" s="2">
        <v>0</v>
      </c>
      <c r="I453" s="2">
        <v>4</v>
      </c>
      <c r="J453" s="4" t="s">
        <v>35</v>
      </c>
      <c r="K453" s="4" t="s">
        <v>28</v>
      </c>
      <c r="L453" s="4" t="s">
        <v>42</v>
      </c>
      <c r="M453" s="5">
        <v>115476</v>
      </c>
      <c r="N453" s="4" t="s">
        <v>29</v>
      </c>
      <c r="O453" s="4" t="s">
        <v>55</v>
      </c>
      <c r="P453" s="4" t="s">
        <v>52</v>
      </c>
    </row>
    <row r="454" spans="1:16" x14ac:dyDescent="0.3">
      <c r="A454" s="2">
        <v>266</v>
      </c>
      <c r="B454" s="3">
        <v>44612</v>
      </c>
      <c r="C454" s="4" t="s">
        <v>44</v>
      </c>
      <c r="D454" s="4" t="s">
        <v>45</v>
      </c>
      <c r="E454" s="4" t="s">
        <v>18</v>
      </c>
      <c r="F454" s="2">
        <v>26</v>
      </c>
      <c r="G454" s="5">
        <v>12008</v>
      </c>
      <c r="H454" s="2">
        <v>0</v>
      </c>
      <c r="I454" s="2">
        <v>1</v>
      </c>
      <c r="J454" s="4" t="s">
        <v>19</v>
      </c>
      <c r="K454" s="4" t="s">
        <v>28</v>
      </c>
      <c r="L454" s="4" t="s">
        <v>43</v>
      </c>
      <c r="M454" s="5">
        <v>144096</v>
      </c>
      <c r="N454" s="4" t="s">
        <v>32</v>
      </c>
      <c r="O454" s="4" t="s">
        <v>55</v>
      </c>
      <c r="P454" s="4" t="s">
        <v>24</v>
      </c>
    </row>
    <row r="455" spans="1:16" x14ac:dyDescent="0.3">
      <c r="A455" s="2">
        <v>276</v>
      </c>
      <c r="B455" s="3">
        <v>40236</v>
      </c>
      <c r="C455" s="4" t="s">
        <v>37</v>
      </c>
      <c r="D455" s="4" t="s">
        <v>38</v>
      </c>
      <c r="E455" s="4" t="s">
        <v>18</v>
      </c>
      <c r="F455" s="2">
        <v>56</v>
      </c>
      <c r="G455" s="5">
        <v>15061</v>
      </c>
      <c r="H455" s="2">
        <v>1</v>
      </c>
      <c r="I455" s="2">
        <v>3</v>
      </c>
      <c r="J455" s="4" t="s">
        <v>35</v>
      </c>
      <c r="K455" s="4" t="s">
        <v>20</v>
      </c>
      <c r="L455" s="4" t="s">
        <v>43</v>
      </c>
      <c r="M455" s="5">
        <v>180732</v>
      </c>
      <c r="N455" s="4" t="s">
        <v>29</v>
      </c>
      <c r="O455" s="4" t="s">
        <v>55</v>
      </c>
      <c r="P455" s="4" t="s">
        <v>53</v>
      </c>
    </row>
    <row r="456" spans="1:16" x14ac:dyDescent="0.3">
      <c r="A456" s="2">
        <v>278</v>
      </c>
      <c r="B456" s="3">
        <v>41343</v>
      </c>
      <c r="C456" s="4" t="s">
        <v>44</v>
      </c>
      <c r="D456" s="4" t="s">
        <v>45</v>
      </c>
      <c r="E456" s="4" t="s">
        <v>18</v>
      </c>
      <c r="F456" s="2">
        <v>27</v>
      </c>
      <c r="G456" s="5">
        <v>6223</v>
      </c>
      <c r="H456" s="2">
        <v>1</v>
      </c>
      <c r="I456" s="2">
        <v>1</v>
      </c>
      <c r="J456" s="4" t="s">
        <v>19</v>
      </c>
      <c r="K456" s="4" t="s">
        <v>20</v>
      </c>
      <c r="L456" s="4" t="s">
        <v>43</v>
      </c>
      <c r="M456" s="5">
        <v>74676</v>
      </c>
      <c r="N456" s="4" t="s">
        <v>32</v>
      </c>
      <c r="O456" s="4" t="s">
        <v>55</v>
      </c>
      <c r="P456" s="4" t="s">
        <v>24</v>
      </c>
    </row>
    <row r="457" spans="1:16" x14ac:dyDescent="0.3">
      <c r="A457" s="2">
        <v>280</v>
      </c>
      <c r="B457" s="3">
        <v>41557</v>
      </c>
      <c r="C457" s="4" t="s">
        <v>46</v>
      </c>
      <c r="D457" s="4" t="s">
        <v>51</v>
      </c>
      <c r="E457" s="4" t="s">
        <v>27</v>
      </c>
      <c r="F457" s="2">
        <v>45</v>
      </c>
      <c r="G457" s="5">
        <v>7544</v>
      </c>
      <c r="H457" s="2">
        <v>2</v>
      </c>
      <c r="I457" s="2">
        <v>4</v>
      </c>
      <c r="J457" s="4" t="s">
        <v>19</v>
      </c>
      <c r="K457" s="4" t="s">
        <v>20</v>
      </c>
      <c r="L457" s="4" t="s">
        <v>39</v>
      </c>
      <c r="M457" s="5">
        <v>90528</v>
      </c>
      <c r="N457" s="4" t="s">
        <v>22</v>
      </c>
      <c r="O457" s="4" t="s">
        <v>55</v>
      </c>
      <c r="P457" s="4" t="s">
        <v>52</v>
      </c>
    </row>
    <row r="458" spans="1:16" x14ac:dyDescent="0.3">
      <c r="A458" s="2">
        <v>282</v>
      </c>
      <c r="B458" s="3">
        <v>44201</v>
      </c>
      <c r="C458" s="4" t="s">
        <v>25</v>
      </c>
      <c r="D458" s="4" t="s">
        <v>30</v>
      </c>
      <c r="E458" s="4" t="s">
        <v>18</v>
      </c>
      <c r="F458" s="2">
        <v>45</v>
      </c>
      <c r="G458" s="5">
        <v>19673</v>
      </c>
      <c r="H458" s="2">
        <v>1</v>
      </c>
      <c r="I458" s="2">
        <v>2</v>
      </c>
      <c r="J458" s="4" t="s">
        <v>19</v>
      </c>
      <c r="K458" s="4" t="s">
        <v>36</v>
      </c>
      <c r="L458" s="4" t="s">
        <v>31</v>
      </c>
      <c r="M458" s="5">
        <v>236076</v>
      </c>
      <c r="N458" s="4" t="s">
        <v>22</v>
      </c>
      <c r="O458" s="4" t="s">
        <v>55</v>
      </c>
      <c r="P458" s="4" t="s">
        <v>24</v>
      </c>
    </row>
    <row r="459" spans="1:16" x14ac:dyDescent="0.3">
      <c r="A459" s="2">
        <v>285</v>
      </c>
      <c r="B459" s="3">
        <v>43656</v>
      </c>
      <c r="C459" s="4" t="s">
        <v>37</v>
      </c>
      <c r="D459" s="4" t="s">
        <v>38</v>
      </c>
      <c r="E459" s="4" t="s">
        <v>18</v>
      </c>
      <c r="F459" s="2">
        <v>36</v>
      </c>
      <c r="G459" s="5">
        <v>5637</v>
      </c>
      <c r="H459" s="2">
        <v>2</v>
      </c>
      <c r="I459" s="2">
        <v>5</v>
      </c>
      <c r="J459" s="4" t="s">
        <v>35</v>
      </c>
      <c r="K459" s="4" t="s">
        <v>20</v>
      </c>
      <c r="L459" s="4" t="s">
        <v>39</v>
      </c>
      <c r="M459" s="5">
        <v>67644</v>
      </c>
      <c r="N459" s="4" t="s">
        <v>22</v>
      </c>
      <c r="O459" s="4" t="s">
        <v>55</v>
      </c>
      <c r="P459" s="4" t="s">
        <v>52</v>
      </c>
    </row>
    <row r="460" spans="1:16" x14ac:dyDescent="0.3">
      <c r="A460" s="2">
        <v>290</v>
      </c>
      <c r="B460" s="3">
        <v>43644</v>
      </c>
      <c r="C460" s="4" t="s">
        <v>46</v>
      </c>
      <c r="D460" s="4" t="s">
        <v>51</v>
      </c>
      <c r="E460" s="4" t="s">
        <v>18</v>
      </c>
      <c r="F460" s="2">
        <v>34</v>
      </c>
      <c r="G460" s="5">
        <v>6195</v>
      </c>
      <c r="H460" s="2">
        <v>2</v>
      </c>
      <c r="I460" s="2">
        <v>4</v>
      </c>
      <c r="J460" s="4" t="s">
        <v>35</v>
      </c>
      <c r="K460" s="4" t="s">
        <v>20</v>
      </c>
      <c r="L460" s="4" t="s">
        <v>21</v>
      </c>
      <c r="M460" s="5">
        <v>74340</v>
      </c>
      <c r="N460" s="4" t="s">
        <v>22</v>
      </c>
      <c r="O460" s="4" t="s">
        <v>55</v>
      </c>
      <c r="P460" s="4" t="s">
        <v>52</v>
      </c>
    </row>
    <row r="461" spans="1:16" x14ac:dyDescent="0.3">
      <c r="A461" s="2">
        <v>293</v>
      </c>
      <c r="B461" s="3">
        <v>43028</v>
      </c>
      <c r="C461" s="4" t="s">
        <v>44</v>
      </c>
      <c r="D461" s="4" t="s">
        <v>50</v>
      </c>
      <c r="E461" s="4" t="s">
        <v>27</v>
      </c>
      <c r="F461" s="2">
        <v>59</v>
      </c>
      <c r="G461" s="5">
        <v>17012</v>
      </c>
      <c r="H461" s="2">
        <v>1</v>
      </c>
      <c r="I461" s="2">
        <v>5</v>
      </c>
      <c r="J461" s="4" t="s">
        <v>35</v>
      </c>
      <c r="K461" s="4" t="s">
        <v>20</v>
      </c>
      <c r="L461" s="4" t="s">
        <v>39</v>
      </c>
      <c r="M461" s="5">
        <v>204144</v>
      </c>
      <c r="N461" s="4" t="s">
        <v>29</v>
      </c>
      <c r="O461" s="4" t="s">
        <v>55</v>
      </c>
      <c r="P461" s="4" t="s">
        <v>52</v>
      </c>
    </row>
    <row r="462" spans="1:16" x14ac:dyDescent="0.3">
      <c r="A462" s="2">
        <v>304</v>
      </c>
      <c r="B462" s="3">
        <v>43539</v>
      </c>
      <c r="C462" s="4" t="s">
        <v>25</v>
      </c>
      <c r="D462" s="4" t="s">
        <v>30</v>
      </c>
      <c r="E462" s="4" t="s">
        <v>27</v>
      </c>
      <c r="F462" s="2">
        <v>31</v>
      </c>
      <c r="G462" s="5">
        <v>9182</v>
      </c>
      <c r="H462" s="2">
        <v>2</v>
      </c>
      <c r="I462" s="2">
        <v>4</v>
      </c>
      <c r="J462" s="4" t="s">
        <v>19</v>
      </c>
      <c r="K462" s="4" t="s">
        <v>28</v>
      </c>
      <c r="L462" s="4" t="s">
        <v>39</v>
      </c>
      <c r="M462" s="5">
        <v>110184</v>
      </c>
      <c r="N462" s="4" t="s">
        <v>22</v>
      </c>
      <c r="O462" s="4" t="s">
        <v>55</v>
      </c>
      <c r="P462" s="4" t="s">
        <v>52</v>
      </c>
    </row>
    <row r="463" spans="1:16" x14ac:dyDescent="0.3">
      <c r="A463" s="2">
        <v>308</v>
      </c>
      <c r="B463" s="3">
        <v>43256</v>
      </c>
      <c r="C463" s="4" t="s">
        <v>16</v>
      </c>
      <c r="D463" s="4" t="s">
        <v>17</v>
      </c>
      <c r="E463" s="4" t="s">
        <v>27</v>
      </c>
      <c r="F463" s="2">
        <v>22</v>
      </c>
      <c r="G463" s="5">
        <v>5269</v>
      </c>
      <c r="H463" s="2">
        <v>2</v>
      </c>
      <c r="I463" s="2">
        <v>4</v>
      </c>
      <c r="J463" s="4" t="s">
        <v>35</v>
      </c>
      <c r="K463" s="4" t="s">
        <v>36</v>
      </c>
      <c r="L463" s="4" t="s">
        <v>21</v>
      </c>
      <c r="M463" s="5">
        <v>63228</v>
      </c>
      <c r="N463" s="4" t="s">
        <v>32</v>
      </c>
      <c r="O463" s="4" t="s">
        <v>55</v>
      </c>
      <c r="P463" s="4" t="s">
        <v>52</v>
      </c>
    </row>
    <row r="464" spans="1:16" x14ac:dyDescent="0.3">
      <c r="A464" s="2">
        <v>316</v>
      </c>
      <c r="B464" s="3">
        <v>42021</v>
      </c>
      <c r="C464" s="4" t="s">
        <v>16</v>
      </c>
      <c r="D464" s="4" t="s">
        <v>40</v>
      </c>
      <c r="E464" s="4" t="s">
        <v>18</v>
      </c>
      <c r="F464" s="2">
        <v>44</v>
      </c>
      <c r="G464" s="5">
        <v>11799</v>
      </c>
      <c r="H464" s="2">
        <v>2</v>
      </c>
      <c r="I464" s="2">
        <v>1</v>
      </c>
      <c r="J464" s="4" t="s">
        <v>35</v>
      </c>
      <c r="K464" s="4" t="s">
        <v>20</v>
      </c>
      <c r="L464" s="4" t="s">
        <v>43</v>
      </c>
      <c r="M464" s="5">
        <v>141588</v>
      </c>
      <c r="N464" s="4" t="s">
        <v>22</v>
      </c>
      <c r="O464" s="4" t="s">
        <v>55</v>
      </c>
      <c r="P464" s="4" t="s">
        <v>24</v>
      </c>
    </row>
    <row r="465" spans="1:16" x14ac:dyDescent="0.3">
      <c r="A465" s="2">
        <v>318</v>
      </c>
      <c r="B465" s="3">
        <v>44939</v>
      </c>
      <c r="C465" s="4" t="s">
        <v>44</v>
      </c>
      <c r="D465" s="4" t="s">
        <v>45</v>
      </c>
      <c r="E465" s="4" t="s">
        <v>18</v>
      </c>
      <c r="F465" s="2">
        <v>57</v>
      </c>
      <c r="G465" s="5">
        <v>14798</v>
      </c>
      <c r="H465" s="2">
        <v>1</v>
      </c>
      <c r="I465" s="2">
        <v>4</v>
      </c>
      <c r="J465" s="4" t="s">
        <v>19</v>
      </c>
      <c r="K465" s="4" t="s">
        <v>36</v>
      </c>
      <c r="L465" s="4" t="s">
        <v>21</v>
      </c>
      <c r="M465" s="5">
        <v>177576</v>
      </c>
      <c r="N465" s="4" t="s">
        <v>29</v>
      </c>
      <c r="O465" s="4" t="s">
        <v>55</v>
      </c>
      <c r="P465" s="4" t="s">
        <v>52</v>
      </c>
    </row>
    <row r="466" spans="1:16" x14ac:dyDescent="0.3">
      <c r="A466" s="2">
        <v>322</v>
      </c>
      <c r="B466" s="3">
        <v>44965</v>
      </c>
      <c r="C466" s="4" t="s">
        <v>16</v>
      </c>
      <c r="D466" s="4" t="s">
        <v>17</v>
      </c>
      <c r="E466" s="4" t="s">
        <v>27</v>
      </c>
      <c r="F466" s="2">
        <v>59</v>
      </c>
      <c r="G466" s="5">
        <v>10748</v>
      </c>
      <c r="H466" s="2">
        <v>1</v>
      </c>
      <c r="I466" s="2">
        <v>4</v>
      </c>
      <c r="J466" s="4" t="s">
        <v>19</v>
      </c>
      <c r="K466" s="4" t="s">
        <v>36</v>
      </c>
      <c r="L466" s="4" t="s">
        <v>43</v>
      </c>
      <c r="M466" s="5">
        <v>128976</v>
      </c>
      <c r="N466" s="4" t="s">
        <v>29</v>
      </c>
      <c r="O466" s="4" t="s">
        <v>55</v>
      </c>
      <c r="P466" s="4" t="s">
        <v>52</v>
      </c>
    </row>
    <row r="467" spans="1:16" x14ac:dyDescent="0.3">
      <c r="A467" s="2">
        <v>327</v>
      </c>
      <c r="B467" s="3">
        <v>42383</v>
      </c>
      <c r="C467" s="4" t="s">
        <v>33</v>
      </c>
      <c r="D467" s="4" t="s">
        <v>49</v>
      </c>
      <c r="E467" s="4" t="s">
        <v>27</v>
      </c>
      <c r="F467" s="2">
        <v>58</v>
      </c>
      <c r="G467" s="5">
        <v>5989</v>
      </c>
      <c r="H467" s="2">
        <v>1</v>
      </c>
      <c r="I467" s="2">
        <v>4</v>
      </c>
      <c r="J467" s="4" t="s">
        <v>35</v>
      </c>
      <c r="K467" s="4" t="s">
        <v>20</v>
      </c>
      <c r="L467" s="4" t="s">
        <v>43</v>
      </c>
      <c r="M467" s="5">
        <v>71868</v>
      </c>
      <c r="N467" s="4" t="s">
        <v>29</v>
      </c>
      <c r="O467" s="4" t="s">
        <v>55</v>
      </c>
      <c r="P467" s="4" t="s">
        <v>52</v>
      </c>
    </row>
    <row r="468" spans="1:16" x14ac:dyDescent="0.3">
      <c r="A468" s="2">
        <v>335</v>
      </c>
      <c r="B468" s="3">
        <v>44494</v>
      </c>
      <c r="C468" s="4" t="s">
        <v>33</v>
      </c>
      <c r="D468" s="4" t="s">
        <v>49</v>
      </c>
      <c r="E468" s="4" t="s">
        <v>18</v>
      </c>
      <c r="F468" s="2">
        <v>55</v>
      </c>
      <c r="G468" s="5">
        <v>8671</v>
      </c>
      <c r="H468" s="2">
        <v>0</v>
      </c>
      <c r="I468" s="2">
        <v>1</v>
      </c>
      <c r="J468" s="4" t="s">
        <v>35</v>
      </c>
      <c r="K468" s="4" t="s">
        <v>28</v>
      </c>
      <c r="L468" s="4" t="s">
        <v>21</v>
      </c>
      <c r="M468" s="5">
        <v>104052</v>
      </c>
      <c r="N468" s="4" t="s">
        <v>29</v>
      </c>
      <c r="O468" s="4" t="s">
        <v>55</v>
      </c>
      <c r="P468" s="4" t="s">
        <v>24</v>
      </c>
    </row>
    <row r="469" spans="1:16" x14ac:dyDescent="0.3">
      <c r="A469" s="2">
        <v>344</v>
      </c>
      <c r="B469" s="3">
        <v>44236</v>
      </c>
      <c r="C469" s="4" t="s">
        <v>37</v>
      </c>
      <c r="D469" s="4" t="s">
        <v>38</v>
      </c>
      <c r="E469" s="4" t="s">
        <v>27</v>
      </c>
      <c r="F469" s="2">
        <v>59</v>
      </c>
      <c r="G469" s="5">
        <v>11961</v>
      </c>
      <c r="H469" s="2">
        <v>1</v>
      </c>
      <c r="I469" s="2">
        <v>3</v>
      </c>
      <c r="J469" s="4" t="s">
        <v>19</v>
      </c>
      <c r="K469" s="4" t="s">
        <v>36</v>
      </c>
      <c r="L469" s="4" t="s">
        <v>42</v>
      </c>
      <c r="M469" s="5">
        <v>143532</v>
      </c>
      <c r="N469" s="4" t="s">
        <v>29</v>
      </c>
      <c r="O469" s="4" t="s">
        <v>55</v>
      </c>
      <c r="P469" s="4" t="s">
        <v>53</v>
      </c>
    </row>
    <row r="470" spans="1:16" x14ac:dyDescent="0.3">
      <c r="A470" s="2">
        <v>350</v>
      </c>
      <c r="B470" s="3">
        <v>42616</v>
      </c>
      <c r="C470" s="4" t="s">
        <v>33</v>
      </c>
      <c r="D470" s="4" t="s">
        <v>49</v>
      </c>
      <c r="E470" s="4" t="s">
        <v>18</v>
      </c>
      <c r="F470" s="2">
        <v>44</v>
      </c>
      <c r="G470" s="5">
        <v>5785</v>
      </c>
      <c r="H470" s="2">
        <v>0</v>
      </c>
      <c r="I470" s="2">
        <v>3</v>
      </c>
      <c r="J470" s="4" t="s">
        <v>19</v>
      </c>
      <c r="K470" s="4" t="s">
        <v>28</v>
      </c>
      <c r="L470" s="4" t="s">
        <v>43</v>
      </c>
      <c r="M470" s="5">
        <v>69420</v>
      </c>
      <c r="N470" s="4" t="s">
        <v>22</v>
      </c>
      <c r="O470" s="4" t="s">
        <v>55</v>
      </c>
      <c r="P470" s="4" t="s">
        <v>53</v>
      </c>
    </row>
    <row r="471" spans="1:16" x14ac:dyDescent="0.3">
      <c r="A471" s="2">
        <v>351</v>
      </c>
      <c r="B471" s="3">
        <v>43416</v>
      </c>
      <c r="C471" s="4" t="s">
        <v>37</v>
      </c>
      <c r="D471" s="4" t="s">
        <v>38</v>
      </c>
      <c r="E471" s="4" t="s">
        <v>27</v>
      </c>
      <c r="F471" s="2">
        <v>51</v>
      </c>
      <c r="G471" s="5">
        <v>5962</v>
      </c>
      <c r="H471" s="2">
        <v>2</v>
      </c>
      <c r="I471" s="2">
        <v>3</v>
      </c>
      <c r="J471" s="4" t="s">
        <v>19</v>
      </c>
      <c r="K471" s="4" t="s">
        <v>36</v>
      </c>
      <c r="L471" s="4" t="s">
        <v>39</v>
      </c>
      <c r="M471" s="5">
        <v>71544</v>
      </c>
      <c r="N471" s="4" t="s">
        <v>29</v>
      </c>
      <c r="O471" s="4" t="s">
        <v>55</v>
      </c>
      <c r="P471" s="4" t="s">
        <v>53</v>
      </c>
    </row>
    <row r="472" spans="1:16" x14ac:dyDescent="0.3">
      <c r="A472" s="2">
        <v>359</v>
      </c>
      <c r="B472" s="3">
        <v>44365</v>
      </c>
      <c r="C472" s="4" t="s">
        <v>33</v>
      </c>
      <c r="D472" s="4" t="s">
        <v>34</v>
      </c>
      <c r="E472" s="4" t="s">
        <v>18</v>
      </c>
      <c r="F472" s="2">
        <v>47</v>
      </c>
      <c r="G472" s="5">
        <v>16880</v>
      </c>
      <c r="H472" s="2">
        <v>2</v>
      </c>
      <c r="I472" s="2">
        <v>4</v>
      </c>
      <c r="J472" s="4" t="s">
        <v>19</v>
      </c>
      <c r="K472" s="4" t="s">
        <v>28</v>
      </c>
      <c r="L472" s="4" t="s">
        <v>31</v>
      </c>
      <c r="M472" s="5">
        <v>202560</v>
      </c>
      <c r="N472" s="4" t="s">
        <v>29</v>
      </c>
      <c r="O472" s="4" t="s">
        <v>55</v>
      </c>
      <c r="P472" s="4" t="s">
        <v>52</v>
      </c>
    </row>
    <row r="473" spans="1:16" x14ac:dyDescent="0.3">
      <c r="A473" s="2">
        <v>365</v>
      </c>
      <c r="B473" s="3">
        <v>44174</v>
      </c>
      <c r="C473" s="4" t="s">
        <v>25</v>
      </c>
      <c r="D473" s="4" t="s">
        <v>30</v>
      </c>
      <c r="E473" s="4" t="s">
        <v>18</v>
      </c>
      <c r="F473" s="2">
        <v>49</v>
      </c>
      <c r="G473" s="5">
        <v>16164</v>
      </c>
      <c r="H473" s="2">
        <v>2</v>
      </c>
      <c r="I473" s="2">
        <v>2</v>
      </c>
      <c r="J473" s="4" t="s">
        <v>35</v>
      </c>
      <c r="K473" s="4" t="s">
        <v>28</v>
      </c>
      <c r="L473" s="4" t="s">
        <v>39</v>
      </c>
      <c r="M473" s="5">
        <v>193968</v>
      </c>
      <c r="N473" s="4" t="s">
        <v>29</v>
      </c>
      <c r="O473" s="4" t="s">
        <v>55</v>
      </c>
      <c r="P473" s="4" t="s">
        <v>24</v>
      </c>
    </row>
    <row r="474" spans="1:16" x14ac:dyDescent="0.3">
      <c r="A474" s="2">
        <v>370</v>
      </c>
      <c r="B474" s="3">
        <v>40438</v>
      </c>
      <c r="C474" s="4" t="s">
        <v>16</v>
      </c>
      <c r="D474" s="4" t="s">
        <v>17</v>
      </c>
      <c r="E474" s="4" t="s">
        <v>27</v>
      </c>
      <c r="F474" s="2">
        <v>34</v>
      </c>
      <c r="G474" s="5">
        <v>7795</v>
      </c>
      <c r="H474" s="2">
        <v>0</v>
      </c>
      <c r="I474" s="2">
        <v>4</v>
      </c>
      <c r="J474" s="4" t="s">
        <v>19</v>
      </c>
      <c r="K474" s="4" t="s">
        <v>36</v>
      </c>
      <c r="L474" s="4" t="s">
        <v>21</v>
      </c>
      <c r="M474" s="5">
        <v>93540</v>
      </c>
      <c r="N474" s="4" t="s">
        <v>22</v>
      </c>
      <c r="O474" s="4" t="s">
        <v>55</v>
      </c>
      <c r="P474" s="4" t="s">
        <v>52</v>
      </c>
    </row>
    <row r="475" spans="1:16" x14ac:dyDescent="0.3">
      <c r="A475" s="2">
        <v>375</v>
      </c>
      <c r="B475" s="3">
        <v>44077</v>
      </c>
      <c r="C475" s="4" t="s">
        <v>37</v>
      </c>
      <c r="D475" s="4" t="s">
        <v>38</v>
      </c>
      <c r="E475" s="4" t="s">
        <v>27</v>
      </c>
      <c r="F475" s="2">
        <v>41</v>
      </c>
      <c r="G475" s="5">
        <v>14307</v>
      </c>
      <c r="H475" s="2">
        <v>1</v>
      </c>
      <c r="I475" s="2">
        <v>4</v>
      </c>
      <c r="J475" s="4" t="s">
        <v>19</v>
      </c>
      <c r="K475" s="4" t="s">
        <v>36</v>
      </c>
      <c r="L475" s="4" t="s">
        <v>39</v>
      </c>
      <c r="M475" s="5">
        <v>171684</v>
      </c>
      <c r="N475" s="4" t="s">
        <v>22</v>
      </c>
      <c r="O475" s="4" t="s">
        <v>55</v>
      </c>
      <c r="P475" s="4" t="s">
        <v>52</v>
      </c>
    </row>
    <row r="476" spans="1:16" x14ac:dyDescent="0.3">
      <c r="A476" s="2">
        <v>376</v>
      </c>
      <c r="B476" s="3">
        <v>43078</v>
      </c>
      <c r="C476" s="4" t="s">
        <v>44</v>
      </c>
      <c r="D476" s="4" t="s">
        <v>50</v>
      </c>
      <c r="E476" s="4" t="s">
        <v>18</v>
      </c>
      <c r="F476" s="2">
        <v>39</v>
      </c>
      <c r="G476" s="5">
        <v>14975</v>
      </c>
      <c r="H476" s="2">
        <v>1</v>
      </c>
      <c r="I476" s="2">
        <v>5</v>
      </c>
      <c r="J476" s="4" t="s">
        <v>19</v>
      </c>
      <c r="K476" s="4" t="s">
        <v>28</v>
      </c>
      <c r="L476" s="4" t="s">
        <v>21</v>
      </c>
      <c r="M476" s="5">
        <v>179700</v>
      </c>
      <c r="N476" s="4" t="s">
        <v>22</v>
      </c>
      <c r="O476" s="4" t="s">
        <v>55</v>
      </c>
      <c r="P476" s="4" t="s">
        <v>52</v>
      </c>
    </row>
    <row r="477" spans="1:16" x14ac:dyDescent="0.3">
      <c r="A477" s="2">
        <v>383</v>
      </c>
      <c r="B477" s="3">
        <v>42144</v>
      </c>
      <c r="C477" s="4" t="s">
        <v>37</v>
      </c>
      <c r="D477" s="4" t="s">
        <v>41</v>
      </c>
      <c r="E477" s="4" t="s">
        <v>27</v>
      </c>
      <c r="F477" s="2">
        <v>47</v>
      </c>
      <c r="G477" s="5">
        <v>17484</v>
      </c>
      <c r="H477" s="2">
        <v>1</v>
      </c>
      <c r="I477" s="2">
        <v>4</v>
      </c>
      <c r="J477" s="4" t="s">
        <v>35</v>
      </c>
      <c r="K477" s="4" t="s">
        <v>36</v>
      </c>
      <c r="L477" s="4" t="s">
        <v>31</v>
      </c>
      <c r="M477" s="5">
        <v>209808</v>
      </c>
      <c r="N477" s="4" t="s">
        <v>29</v>
      </c>
      <c r="O477" s="4" t="s">
        <v>55</v>
      </c>
      <c r="P477" s="4" t="s">
        <v>52</v>
      </c>
    </row>
    <row r="478" spans="1:16" x14ac:dyDescent="0.3">
      <c r="A478" s="2">
        <v>384</v>
      </c>
      <c r="B478" s="3">
        <v>42790</v>
      </c>
      <c r="C478" s="4" t="s">
        <v>33</v>
      </c>
      <c r="D478" s="4" t="s">
        <v>49</v>
      </c>
      <c r="E478" s="4" t="s">
        <v>18</v>
      </c>
      <c r="F478" s="2">
        <v>42</v>
      </c>
      <c r="G478" s="5">
        <v>11529</v>
      </c>
      <c r="H478" s="2">
        <v>2</v>
      </c>
      <c r="I478" s="2">
        <v>5</v>
      </c>
      <c r="J478" s="4" t="s">
        <v>35</v>
      </c>
      <c r="K478" s="4" t="s">
        <v>28</v>
      </c>
      <c r="L478" s="4" t="s">
        <v>43</v>
      </c>
      <c r="M478" s="5">
        <v>138348</v>
      </c>
      <c r="N478" s="4" t="s">
        <v>22</v>
      </c>
      <c r="O478" s="4" t="s">
        <v>55</v>
      </c>
      <c r="P478" s="4" t="s">
        <v>52</v>
      </c>
    </row>
    <row r="479" spans="1:16" x14ac:dyDescent="0.3">
      <c r="A479" s="2">
        <v>385</v>
      </c>
      <c r="B479" s="3">
        <v>40265</v>
      </c>
      <c r="C479" s="4" t="s">
        <v>33</v>
      </c>
      <c r="D479" s="4" t="s">
        <v>49</v>
      </c>
      <c r="E479" s="4" t="s">
        <v>18</v>
      </c>
      <c r="F479" s="2">
        <v>54</v>
      </c>
      <c r="G479" s="5">
        <v>18486</v>
      </c>
      <c r="H479" s="2">
        <v>0</v>
      </c>
      <c r="I479" s="2">
        <v>1</v>
      </c>
      <c r="J479" s="4" t="s">
        <v>35</v>
      </c>
      <c r="K479" s="4" t="s">
        <v>36</v>
      </c>
      <c r="L479" s="4" t="s">
        <v>21</v>
      </c>
      <c r="M479" s="5">
        <v>221832</v>
      </c>
      <c r="N479" s="4" t="s">
        <v>29</v>
      </c>
      <c r="O479" s="4" t="s">
        <v>55</v>
      </c>
      <c r="P479" s="4" t="s">
        <v>24</v>
      </c>
    </row>
    <row r="480" spans="1:16" x14ac:dyDescent="0.3">
      <c r="A480" s="2">
        <v>388</v>
      </c>
      <c r="B480" s="3">
        <v>43358</v>
      </c>
      <c r="C480" s="4" t="s">
        <v>37</v>
      </c>
      <c r="D480" s="4" t="s">
        <v>38</v>
      </c>
      <c r="E480" s="4" t="s">
        <v>27</v>
      </c>
      <c r="F480" s="2">
        <v>48</v>
      </c>
      <c r="G480" s="5">
        <v>10968</v>
      </c>
      <c r="H480" s="2">
        <v>0</v>
      </c>
      <c r="I480" s="2">
        <v>4</v>
      </c>
      <c r="J480" s="4" t="s">
        <v>35</v>
      </c>
      <c r="K480" s="4" t="s">
        <v>28</v>
      </c>
      <c r="L480" s="4" t="s">
        <v>42</v>
      </c>
      <c r="M480" s="5">
        <v>131616</v>
      </c>
      <c r="N480" s="4" t="s">
        <v>29</v>
      </c>
      <c r="O480" s="4" t="s">
        <v>55</v>
      </c>
      <c r="P480" s="4" t="s">
        <v>52</v>
      </c>
    </row>
    <row r="481" spans="1:16" x14ac:dyDescent="0.3">
      <c r="A481" s="2">
        <v>390</v>
      </c>
      <c r="B481" s="3">
        <v>43829</v>
      </c>
      <c r="C481" s="4" t="s">
        <v>37</v>
      </c>
      <c r="D481" s="4" t="s">
        <v>41</v>
      </c>
      <c r="E481" s="4" t="s">
        <v>27</v>
      </c>
      <c r="F481" s="2">
        <v>30</v>
      </c>
      <c r="G481" s="5">
        <v>10457</v>
      </c>
      <c r="H481" s="2">
        <v>2</v>
      </c>
      <c r="I481" s="2">
        <v>5</v>
      </c>
      <c r="J481" s="4" t="s">
        <v>35</v>
      </c>
      <c r="K481" s="4" t="s">
        <v>36</v>
      </c>
      <c r="L481" s="4" t="s">
        <v>42</v>
      </c>
      <c r="M481" s="5">
        <v>125484</v>
      </c>
      <c r="N481" s="4" t="s">
        <v>22</v>
      </c>
      <c r="O481" s="4" t="s">
        <v>55</v>
      </c>
      <c r="P481" s="4" t="s">
        <v>52</v>
      </c>
    </row>
    <row r="482" spans="1:16" x14ac:dyDescent="0.3">
      <c r="A482" s="2">
        <v>396</v>
      </c>
      <c r="B482" s="3">
        <v>40365</v>
      </c>
      <c r="C482" s="4" t="s">
        <v>33</v>
      </c>
      <c r="D482" s="4" t="s">
        <v>34</v>
      </c>
      <c r="E482" s="4" t="s">
        <v>18</v>
      </c>
      <c r="F482" s="2">
        <v>41</v>
      </c>
      <c r="G482" s="5">
        <v>15569</v>
      </c>
      <c r="H482" s="2">
        <v>2</v>
      </c>
      <c r="I482" s="2">
        <v>2</v>
      </c>
      <c r="J482" s="4" t="s">
        <v>35</v>
      </c>
      <c r="K482" s="4" t="s">
        <v>20</v>
      </c>
      <c r="L482" s="4" t="s">
        <v>42</v>
      </c>
      <c r="M482" s="5">
        <v>186828</v>
      </c>
      <c r="N482" s="4" t="s">
        <v>22</v>
      </c>
      <c r="O482" s="4" t="s">
        <v>55</v>
      </c>
      <c r="P482" s="4" t="s">
        <v>24</v>
      </c>
    </row>
    <row r="483" spans="1:16" x14ac:dyDescent="0.3">
      <c r="A483" s="2">
        <v>397</v>
      </c>
      <c r="B483" s="3">
        <v>44916</v>
      </c>
      <c r="C483" s="4" t="s">
        <v>16</v>
      </c>
      <c r="D483" s="4" t="s">
        <v>17</v>
      </c>
      <c r="E483" s="4" t="s">
        <v>18</v>
      </c>
      <c r="F483" s="2">
        <v>29</v>
      </c>
      <c r="G483" s="5">
        <v>6105</v>
      </c>
      <c r="H483" s="2">
        <v>2</v>
      </c>
      <c r="I483" s="2">
        <v>3</v>
      </c>
      <c r="J483" s="4" t="s">
        <v>19</v>
      </c>
      <c r="K483" s="4" t="s">
        <v>20</v>
      </c>
      <c r="L483" s="4" t="s">
        <v>43</v>
      </c>
      <c r="M483" s="5">
        <v>73260</v>
      </c>
      <c r="N483" s="4" t="s">
        <v>32</v>
      </c>
      <c r="O483" s="4" t="s">
        <v>55</v>
      </c>
      <c r="P483" s="4" t="s">
        <v>53</v>
      </c>
    </row>
    <row r="484" spans="1:16" x14ac:dyDescent="0.3">
      <c r="A484" s="2">
        <v>400</v>
      </c>
      <c r="B484" s="3">
        <v>42390</v>
      </c>
      <c r="C484" s="4" t="s">
        <v>37</v>
      </c>
      <c r="D484" s="4" t="s">
        <v>38</v>
      </c>
      <c r="E484" s="4" t="s">
        <v>27</v>
      </c>
      <c r="F484" s="2">
        <v>30</v>
      </c>
      <c r="G484" s="5">
        <v>10546</v>
      </c>
      <c r="H484" s="2">
        <v>0</v>
      </c>
      <c r="I484" s="2">
        <v>2</v>
      </c>
      <c r="J484" s="4" t="s">
        <v>19</v>
      </c>
      <c r="K484" s="4" t="s">
        <v>36</v>
      </c>
      <c r="L484" s="4" t="s">
        <v>31</v>
      </c>
      <c r="M484" s="5">
        <v>126552</v>
      </c>
      <c r="N484" s="4" t="s">
        <v>22</v>
      </c>
      <c r="O484" s="4" t="s">
        <v>55</v>
      </c>
      <c r="P484" s="4" t="s">
        <v>24</v>
      </c>
    </row>
    <row r="485" spans="1:16" x14ac:dyDescent="0.3">
      <c r="A485" s="2">
        <v>401</v>
      </c>
      <c r="B485" s="3">
        <v>42501</v>
      </c>
      <c r="C485" s="4" t="s">
        <v>16</v>
      </c>
      <c r="D485" s="4" t="s">
        <v>17</v>
      </c>
      <c r="E485" s="4" t="s">
        <v>27</v>
      </c>
      <c r="F485" s="2">
        <v>32</v>
      </c>
      <c r="G485" s="5">
        <v>16336</v>
      </c>
      <c r="H485" s="2">
        <v>0</v>
      </c>
      <c r="I485" s="2">
        <v>1</v>
      </c>
      <c r="J485" s="4" t="s">
        <v>35</v>
      </c>
      <c r="K485" s="4" t="s">
        <v>36</v>
      </c>
      <c r="L485" s="4" t="s">
        <v>39</v>
      </c>
      <c r="M485" s="5">
        <v>196032</v>
      </c>
      <c r="N485" s="4" t="s">
        <v>22</v>
      </c>
      <c r="O485" s="4" t="s">
        <v>55</v>
      </c>
      <c r="P485" s="4" t="s">
        <v>24</v>
      </c>
    </row>
    <row r="486" spans="1:16" x14ac:dyDescent="0.3">
      <c r="A486" s="2">
        <v>410</v>
      </c>
      <c r="B486" s="3">
        <v>41230</v>
      </c>
      <c r="C486" s="4" t="s">
        <v>33</v>
      </c>
      <c r="D486" s="4" t="s">
        <v>49</v>
      </c>
      <c r="E486" s="4" t="s">
        <v>18</v>
      </c>
      <c r="F486" s="2">
        <v>49</v>
      </c>
      <c r="G486" s="5">
        <v>17933</v>
      </c>
      <c r="H486" s="2">
        <v>1</v>
      </c>
      <c r="I486" s="2">
        <v>5</v>
      </c>
      <c r="J486" s="4" t="s">
        <v>19</v>
      </c>
      <c r="K486" s="4" t="s">
        <v>36</v>
      </c>
      <c r="L486" s="4" t="s">
        <v>21</v>
      </c>
      <c r="M486" s="5">
        <v>215196</v>
      </c>
      <c r="N486" s="4" t="s">
        <v>29</v>
      </c>
      <c r="O486" s="4" t="s">
        <v>55</v>
      </c>
      <c r="P486" s="4" t="s">
        <v>52</v>
      </c>
    </row>
    <row r="487" spans="1:16" x14ac:dyDescent="0.3">
      <c r="A487" s="2">
        <v>413</v>
      </c>
      <c r="B487" s="3">
        <v>40585</v>
      </c>
      <c r="C487" s="4" t="s">
        <v>44</v>
      </c>
      <c r="D487" s="4" t="s">
        <v>50</v>
      </c>
      <c r="E487" s="4" t="s">
        <v>27</v>
      </c>
      <c r="F487" s="2">
        <v>42</v>
      </c>
      <c r="G487" s="5">
        <v>6528</v>
      </c>
      <c r="H487" s="2">
        <v>1</v>
      </c>
      <c r="I487" s="2">
        <v>3</v>
      </c>
      <c r="J487" s="4" t="s">
        <v>35</v>
      </c>
      <c r="K487" s="4" t="s">
        <v>20</v>
      </c>
      <c r="L487" s="4" t="s">
        <v>42</v>
      </c>
      <c r="M487" s="5">
        <v>78336</v>
      </c>
      <c r="N487" s="4" t="s">
        <v>22</v>
      </c>
      <c r="O487" s="4" t="s">
        <v>55</v>
      </c>
      <c r="P487" s="4" t="s">
        <v>53</v>
      </c>
    </row>
    <row r="488" spans="1:16" x14ac:dyDescent="0.3">
      <c r="A488" s="2">
        <v>414</v>
      </c>
      <c r="B488" s="3">
        <v>40346</v>
      </c>
      <c r="C488" s="4" t="s">
        <v>33</v>
      </c>
      <c r="D488" s="4" t="s">
        <v>34</v>
      </c>
      <c r="E488" s="4" t="s">
        <v>27</v>
      </c>
      <c r="F488" s="2">
        <v>60</v>
      </c>
      <c r="G488" s="5">
        <v>10244</v>
      </c>
      <c r="H488" s="2">
        <v>1</v>
      </c>
      <c r="I488" s="2">
        <v>2</v>
      </c>
      <c r="J488" s="4" t="s">
        <v>35</v>
      </c>
      <c r="K488" s="4" t="s">
        <v>28</v>
      </c>
      <c r="L488" s="4" t="s">
        <v>21</v>
      </c>
      <c r="M488" s="5">
        <v>122928</v>
      </c>
      <c r="N488" s="4" t="s">
        <v>29</v>
      </c>
      <c r="O488" s="4" t="s">
        <v>55</v>
      </c>
      <c r="P488" s="4" t="s">
        <v>24</v>
      </c>
    </row>
    <row r="489" spans="1:16" x14ac:dyDescent="0.3">
      <c r="A489" s="2">
        <v>415</v>
      </c>
      <c r="B489" s="3">
        <v>41062</v>
      </c>
      <c r="C489" s="4" t="s">
        <v>16</v>
      </c>
      <c r="D489" s="4" t="s">
        <v>17</v>
      </c>
      <c r="E489" s="4" t="s">
        <v>18</v>
      </c>
      <c r="F489" s="2">
        <v>53</v>
      </c>
      <c r="G489" s="5">
        <v>16322</v>
      </c>
      <c r="H489" s="2">
        <v>2</v>
      </c>
      <c r="I489" s="2">
        <v>4</v>
      </c>
      <c r="J489" s="4" t="s">
        <v>35</v>
      </c>
      <c r="K489" s="4" t="s">
        <v>20</v>
      </c>
      <c r="L489" s="4" t="s">
        <v>31</v>
      </c>
      <c r="M489" s="5">
        <v>195864</v>
      </c>
      <c r="N489" s="4" t="s">
        <v>29</v>
      </c>
      <c r="O489" s="4" t="s">
        <v>55</v>
      </c>
      <c r="P489" s="4" t="s">
        <v>52</v>
      </c>
    </row>
    <row r="490" spans="1:16" x14ac:dyDescent="0.3">
      <c r="A490" s="2">
        <v>419</v>
      </c>
      <c r="B490" s="3">
        <v>42994</v>
      </c>
      <c r="C490" s="4" t="s">
        <v>46</v>
      </c>
      <c r="D490" s="4" t="s">
        <v>48</v>
      </c>
      <c r="E490" s="4" t="s">
        <v>18</v>
      </c>
      <c r="F490" s="2">
        <v>31</v>
      </c>
      <c r="G490" s="5">
        <v>9882</v>
      </c>
      <c r="H490" s="2">
        <v>2</v>
      </c>
      <c r="I490" s="2">
        <v>2</v>
      </c>
      <c r="J490" s="4" t="s">
        <v>35</v>
      </c>
      <c r="K490" s="4" t="s">
        <v>20</v>
      </c>
      <c r="L490" s="4" t="s">
        <v>21</v>
      </c>
      <c r="M490" s="5">
        <v>118584</v>
      </c>
      <c r="N490" s="4" t="s">
        <v>22</v>
      </c>
      <c r="O490" s="4" t="s">
        <v>55</v>
      </c>
      <c r="P490" s="4" t="s">
        <v>24</v>
      </c>
    </row>
    <row r="491" spans="1:16" x14ac:dyDescent="0.3">
      <c r="A491" s="2">
        <v>422</v>
      </c>
      <c r="B491" s="3">
        <v>42092</v>
      </c>
      <c r="C491" s="4" t="s">
        <v>44</v>
      </c>
      <c r="D491" s="4" t="s">
        <v>45</v>
      </c>
      <c r="E491" s="4" t="s">
        <v>27</v>
      </c>
      <c r="F491" s="2">
        <v>51</v>
      </c>
      <c r="G491" s="5">
        <v>8022</v>
      </c>
      <c r="H491" s="2">
        <v>2</v>
      </c>
      <c r="I491" s="2">
        <v>5</v>
      </c>
      <c r="J491" s="4" t="s">
        <v>19</v>
      </c>
      <c r="K491" s="4" t="s">
        <v>20</v>
      </c>
      <c r="L491" s="4" t="s">
        <v>39</v>
      </c>
      <c r="M491" s="5">
        <v>96264</v>
      </c>
      <c r="N491" s="4" t="s">
        <v>29</v>
      </c>
      <c r="O491" s="4" t="s">
        <v>55</v>
      </c>
      <c r="P491" s="4" t="s">
        <v>52</v>
      </c>
    </row>
    <row r="492" spans="1:16" x14ac:dyDescent="0.3">
      <c r="A492" s="2">
        <v>427</v>
      </c>
      <c r="B492" s="3">
        <v>42428</v>
      </c>
      <c r="C492" s="4" t="s">
        <v>25</v>
      </c>
      <c r="D492" s="4" t="s">
        <v>26</v>
      </c>
      <c r="E492" s="4" t="s">
        <v>27</v>
      </c>
      <c r="F492" s="2">
        <v>54</v>
      </c>
      <c r="G492" s="5">
        <v>5001</v>
      </c>
      <c r="H492" s="2">
        <v>2</v>
      </c>
      <c r="I492" s="2">
        <v>1</v>
      </c>
      <c r="J492" s="4" t="s">
        <v>35</v>
      </c>
      <c r="K492" s="4" t="s">
        <v>36</v>
      </c>
      <c r="L492" s="4" t="s">
        <v>43</v>
      </c>
      <c r="M492" s="5">
        <v>60012</v>
      </c>
      <c r="N492" s="4" t="s">
        <v>29</v>
      </c>
      <c r="O492" s="4" t="s">
        <v>55</v>
      </c>
      <c r="P492" s="4" t="s">
        <v>24</v>
      </c>
    </row>
    <row r="493" spans="1:16" x14ac:dyDescent="0.3">
      <c r="A493" s="2">
        <v>432</v>
      </c>
      <c r="B493" s="3">
        <v>40394</v>
      </c>
      <c r="C493" s="4" t="s">
        <v>33</v>
      </c>
      <c r="D493" s="4" t="s">
        <v>34</v>
      </c>
      <c r="E493" s="4" t="s">
        <v>18</v>
      </c>
      <c r="F493" s="2">
        <v>48</v>
      </c>
      <c r="G493" s="5">
        <v>11761</v>
      </c>
      <c r="H493" s="2">
        <v>2</v>
      </c>
      <c r="I493" s="2">
        <v>1</v>
      </c>
      <c r="J493" s="4" t="s">
        <v>35</v>
      </c>
      <c r="K493" s="4" t="s">
        <v>28</v>
      </c>
      <c r="L493" s="4" t="s">
        <v>43</v>
      </c>
      <c r="M493" s="5">
        <v>141132</v>
      </c>
      <c r="N493" s="4" t="s">
        <v>29</v>
      </c>
      <c r="O493" s="4" t="s">
        <v>55</v>
      </c>
      <c r="P493" s="4" t="s">
        <v>24</v>
      </c>
    </row>
    <row r="494" spans="1:16" x14ac:dyDescent="0.3">
      <c r="A494" s="2">
        <v>448</v>
      </c>
      <c r="B494" s="3">
        <v>44256</v>
      </c>
      <c r="C494" s="4" t="s">
        <v>44</v>
      </c>
      <c r="D494" s="4" t="s">
        <v>50</v>
      </c>
      <c r="E494" s="4" t="s">
        <v>27</v>
      </c>
      <c r="F494" s="2">
        <v>58</v>
      </c>
      <c r="G494" s="5">
        <v>8705</v>
      </c>
      <c r="H494" s="2">
        <v>1</v>
      </c>
      <c r="I494" s="2">
        <v>1</v>
      </c>
      <c r="J494" s="4" t="s">
        <v>19</v>
      </c>
      <c r="K494" s="4" t="s">
        <v>20</v>
      </c>
      <c r="L494" s="4" t="s">
        <v>43</v>
      </c>
      <c r="M494" s="5">
        <v>104460</v>
      </c>
      <c r="N494" s="4" t="s">
        <v>29</v>
      </c>
      <c r="O494" s="4" t="s">
        <v>55</v>
      </c>
      <c r="P494" s="4" t="s">
        <v>24</v>
      </c>
    </row>
    <row r="495" spans="1:16" x14ac:dyDescent="0.3">
      <c r="A495" s="2">
        <v>450</v>
      </c>
      <c r="B495" s="3">
        <v>40291</v>
      </c>
      <c r="C495" s="4" t="s">
        <v>44</v>
      </c>
      <c r="D495" s="4" t="s">
        <v>45</v>
      </c>
      <c r="E495" s="4" t="s">
        <v>18</v>
      </c>
      <c r="F495" s="2">
        <v>43</v>
      </c>
      <c r="G495" s="5">
        <v>7808</v>
      </c>
      <c r="H495" s="2">
        <v>1</v>
      </c>
      <c r="I495" s="2">
        <v>5</v>
      </c>
      <c r="J495" s="4" t="s">
        <v>35</v>
      </c>
      <c r="K495" s="4" t="s">
        <v>28</v>
      </c>
      <c r="L495" s="4" t="s">
        <v>43</v>
      </c>
      <c r="M495" s="5">
        <v>93696</v>
      </c>
      <c r="N495" s="4" t="s">
        <v>22</v>
      </c>
      <c r="O495" s="4" t="s">
        <v>55</v>
      </c>
      <c r="P495" s="4" t="s">
        <v>52</v>
      </c>
    </row>
    <row r="496" spans="1:16" x14ac:dyDescent="0.3">
      <c r="A496" s="2">
        <v>451</v>
      </c>
      <c r="B496" s="3">
        <v>41401</v>
      </c>
      <c r="C496" s="4" t="s">
        <v>46</v>
      </c>
      <c r="D496" s="4" t="s">
        <v>48</v>
      </c>
      <c r="E496" s="4" t="s">
        <v>18</v>
      </c>
      <c r="F496" s="2">
        <v>56</v>
      </c>
      <c r="G496" s="5">
        <v>12291</v>
      </c>
      <c r="H496" s="2">
        <v>0</v>
      </c>
      <c r="I496" s="2">
        <v>1</v>
      </c>
      <c r="J496" s="4" t="s">
        <v>35</v>
      </c>
      <c r="K496" s="4" t="s">
        <v>36</v>
      </c>
      <c r="L496" s="4" t="s">
        <v>21</v>
      </c>
      <c r="M496" s="5">
        <v>147492</v>
      </c>
      <c r="N496" s="4" t="s">
        <v>29</v>
      </c>
      <c r="O496" s="4" t="s">
        <v>55</v>
      </c>
      <c r="P496" s="4" t="s">
        <v>24</v>
      </c>
    </row>
    <row r="497" spans="1:16" x14ac:dyDescent="0.3">
      <c r="A497" s="2">
        <v>455</v>
      </c>
      <c r="B497" s="3">
        <v>41374</v>
      </c>
      <c r="C497" s="4" t="s">
        <v>46</v>
      </c>
      <c r="D497" s="4" t="s">
        <v>51</v>
      </c>
      <c r="E497" s="4" t="s">
        <v>27</v>
      </c>
      <c r="F497" s="2">
        <v>37</v>
      </c>
      <c r="G497" s="5">
        <v>9928</v>
      </c>
      <c r="H497" s="2">
        <v>2</v>
      </c>
      <c r="I497" s="2">
        <v>5</v>
      </c>
      <c r="J497" s="4" t="s">
        <v>35</v>
      </c>
      <c r="K497" s="4" t="s">
        <v>28</v>
      </c>
      <c r="L497" s="4" t="s">
        <v>21</v>
      </c>
      <c r="M497" s="5">
        <v>119136</v>
      </c>
      <c r="N497" s="4" t="s">
        <v>22</v>
      </c>
      <c r="O497" s="4" t="s">
        <v>55</v>
      </c>
      <c r="P497" s="4" t="s">
        <v>52</v>
      </c>
    </row>
    <row r="498" spans="1:16" x14ac:dyDescent="0.3">
      <c r="A498" s="2">
        <v>460</v>
      </c>
      <c r="B498" s="3">
        <v>41362</v>
      </c>
      <c r="C498" s="4" t="s">
        <v>44</v>
      </c>
      <c r="D498" s="4" t="s">
        <v>50</v>
      </c>
      <c r="E498" s="4" t="s">
        <v>18</v>
      </c>
      <c r="F498" s="2">
        <v>27</v>
      </c>
      <c r="G498" s="5">
        <v>15360</v>
      </c>
      <c r="H498" s="2">
        <v>0</v>
      </c>
      <c r="I498" s="2">
        <v>3</v>
      </c>
      <c r="J498" s="4" t="s">
        <v>19</v>
      </c>
      <c r="K498" s="4" t="s">
        <v>20</v>
      </c>
      <c r="L498" s="4" t="s">
        <v>43</v>
      </c>
      <c r="M498" s="5">
        <v>184320</v>
      </c>
      <c r="N498" s="4" t="s">
        <v>32</v>
      </c>
      <c r="O498" s="4" t="s">
        <v>55</v>
      </c>
      <c r="P498" s="4" t="s">
        <v>53</v>
      </c>
    </row>
    <row r="499" spans="1:16" x14ac:dyDescent="0.3">
      <c r="A499" s="2">
        <v>475</v>
      </c>
      <c r="B499" s="3">
        <v>44427</v>
      </c>
      <c r="C499" s="4" t="s">
        <v>33</v>
      </c>
      <c r="D499" s="4" t="s">
        <v>34</v>
      </c>
      <c r="E499" s="4" t="s">
        <v>27</v>
      </c>
      <c r="F499" s="2">
        <v>32</v>
      </c>
      <c r="G499" s="5">
        <v>7233</v>
      </c>
      <c r="H499" s="2">
        <v>1</v>
      </c>
      <c r="I499" s="2">
        <v>5</v>
      </c>
      <c r="J499" s="4" t="s">
        <v>19</v>
      </c>
      <c r="K499" s="4" t="s">
        <v>20</v>
      </c>
      <c r="L499" s="4" t="s">
        <v>42</v>
      </c>
      <c r="M499" s="5">
        <v>86796</v>
      </c>
      <c r="N499" s="4" t="s">
        <v>22</v>
      </c>
      <c r="O499" s="4" t="s">
        <v>55</v>
      </c>
      <c r="P499" s="4" t="s">
        <v>52</v>
      </c>
    </row>
    <row r="500" spans="1:16" x14ac:dyDescent="0.3">
      <c r="A500" s="2">
        <v>480</v>
      </c>
      <c r="B500" s="3">
        <v>44979</v>
      </c>
      <c r="C500" s="4" t="s">
        <v>33</v>
      </c>
      <c r="D500" s="4" t="s">
        <v>49</v>
      </c>
      <c r="E500" s="4" t="s">
        <v>18</v>
      </c>
      <c r="F500" s="2">
        <v>50</v>
      </c>
      <c r="G500" s="5">
        <v>7651</v>
      </c>
      <c r="H500" s="2">
        <v>0</v>
      </c>
      <c r="I500" s="2">
        <v>4</v>
      </c>
      <c r="J500" s="4" t="s">
        <v>35</v>
      </c>
      <c r="K500" s="4" t="s">
        <v>20</v>
      </c>
      <c r="L500" s="4" t="s">
        <v>31</v>
      </c>
      <c r="M500" s="5">
        <v>91812</v>
      </c>
      <c r="N500" s="4" t="s">
        <v>29</v>
      </c>
      <c r="O500" s="4" t="s">
        <v>55</v>
      </c>
      <c r="P500" s="4" t="s">
        <v>52</v>
      </c>
    </row>
    <row r="501" spans="1:16" x14ac:dyDescent="0.3">
      <c r="A501" s="2">
        <v>497</v>
      </c>
      <c r="B501" s="3">
        <v>44850</v>
      </c>
      <c r="C501" s="4" t="s">
        <v>37</v>
      </c>
      <c r="D501" s="4" t="s">
        <v>41</v>
      </c>
      <c r="E501" s="4" t="s">
        <v>27</v>
      </c>
      <c r="F501" s="2">
        <v>34</v>
      </c>
      <c r="G501" s="5">
        <v>17738</v>
      </c>
      <c r="H501" s="2">
        <v>0</v>
      </c>
      <c r="I501" s="2">
        <v>4</v>
      </c>
      <c r="J501" s="4" t="s">
        <v>35</v>
      </c>
      <c r="K501" s="4" t="s">
        <v>28</v>
      </c>
      <c r="L501" s="4" t="s">
        <v>39</v>
      </c>
      <c r="M501" s="5">
        <v>212856</v>
      </c>
      <c r="N501" s="4" t="s">
        <v>22</v>
      </c>
      <c r="O501" s="4" t="s">
        <v>55</v>
      </c>
      <c r="P501" s="4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0"/>
  <sheetViews>
    <sheetView workbookViewId="0">
      <selection activeCell="G25" sqref="G25"/>
    </sheetView>
  </sheetViews>
  <sheetFormatPr defaultRowHeight="14.4" x14ac:dyDescent="0.3"/>
  <cols>
    <col min="1" max="1" width="19.109375" bestFit="1" customWidth="1"/>
    <col min="2" max="2" width="15.5546875" bestFit="1" customWidth="1"/>
    <col min="3" max="3" width="4" customWidth="1"/>
    <col min="4" max="4" width="10.77734375" bestFit="1" customWidth="1"/>
  </cols>
  <sheetData>
    <row r="3" spans="1:4" x14ac:dyDescent="0.3">
      <c r="A3" s="6" t="s">
        <v>58</v>
      </c>
      <c r="B3" s="6" t="s">
        <v>60</v>
      </c>
    </row>
    <row r="4" spans="1:4" x14ac:dyDescent="0.3">
      <c r="A4" s="6" t="s">
        <v>56</v>
      </c>
      <c r="B4" t="s">
        <v>19</v>
      </c>
      <c r="C4" t="s">
        <v>35</v>
      </c>
      <c r="D4" t="s">
        <v>57</v>
      </c>
    </row>
    <row r="5" spans="1:4" x14ac:dyDescent="0.3">
      <c r="A5" s="7" t="s">
        <v>16</v>
      </c>
      <c r="B5" s="8">
        <v>49</v>
      </c>
      <c r="C5" s="8">
        <v>44</v>
      </c>
      <c r="D5" s="8">
        <v>93</v>
      </c>
    </row>
    <row r="6" spans="1:4" x14ac:dyDescent="0.3">
      <c r="A6" s="7" t="s">
        <v>37</v>
      </c>
      <c r="B6" s="8">
        <v>41</v>
      </c>
      <c r="C6" s="8">
        <v>43</v>
      </c>
      <c r="D6" s="8">
        <v>84</v>
      </c>
    </row>
    <row r="7" spans="1:4" x14ac:dyDescent="0.3">
      <c r="A7" s="7" t="s">
        <v>46</v>
      </c>
      <c r="B7" s="8">
        <v>38</v>
      </c>
      <c r="C7" s="8">
        <v>41</v>
      </c>
      <c r="D7" s="8">
        <v>79</v>
      </c>
    </row>
    <row r="8" spans="1:4" x14ac:dyDescent="0.3">
      <c r="A8" s="7" t="s">
        <v>44</v>
      </c>
      <c r="B8" s="8">
        <v>37</v>
      </c>
      <c r="C8" s="8">
        <v>44</v>
      </c>
      <c r="D8" s="8">
        <v>81</v>
      </c>
    </row>
    <row r="9" spans="1:4" x14ac:dyDescent="0.3">
      <c r="A9" s="7" t="s">
        <v>25</v>
      </c>
      <c r="B9" s="8">
        <v>43</v>
      </c>
      <c r="C9" s="8">
        <v>29</v>
      </c>
      <c r="D9" s="8">
        <v>72</v>
      </c>
    </row>
    <row r="10" spans="1:4" x14ac:dyDescent="0.3">
      <c r="A10" s="7" t="s">
        <v>33</v>
      </c>
      <c r="B10" s="8">
        <v>43</v>
      </c>
      <c r="C10" s="8">
        <v>48</v>
      </c>
      <c r="D10" s="8">
        <v>91</v>
      </c>
    </row>
    <row r="11" spans="1:4" x14ac:dyDescent="0.3">
      <c r="A11" s="7" t="s">
        <v>57</v>
      </c>
      <c r="B11" s="8">
        <v>251</v>
      </c>
      <c r="C11" s="8">
        <v>249</v>
      </c>
      <c r="D11" s="8">
        <v>500</v>
      </c>
    </row>
    <row r="20" spans="6:12" ht="15.6" x14ac:dyDescent="0.3">
      <c r="F20" s="13" t="s">
        <v>67</v>
      </c>
      <c r="L20" t="s">
        <v>19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9"/>
  <sheetViews>
    <sheetView zoomScaleNormal="100" workbookViewId="0">
      <selection activeCell="D22" sqref="D22"/>
    </sheetView>
  </sheetViews>
  <sheetFormatPr defaultRowHeight="14.4" x14ac:dyDescent="0.3"/>
  <cols>
    <col min="1" max="1" width="13.44140625" customWidth="1"/>
    <col min="2" max="2" width="20" bestFit="1" customWidth="1"/>
  </cols>
  <sheetData>
    <row r="3" spans="1:2" x14ac:dyDescent="0.3">
      <c r="A3" s="6" t="s">
        <v>56</v>
      </c>
      <c r="B3" t="s">
        <v>58</v>
      </c>
    </row>
    <row r="4" spans="1:2" x14ac:dyDescent="0.3">
      <c r="A4" s="7" t="s">
        <v>28</v>
      </c>
      <c r="B4" s="11">
        <v>0.314</v>
      </c>
    </row>
    <row r="5" spans="1:2" x14ac:dyDescent="0.3">
      <c r="A5" s="7" t="s">
        <v>36</v>
      </c>
      <c r="B5" s="11">
        <v>0.35199999999999998</v>
      </c>
    </row>
    <row r="6" spans="1:2" x14ac:dyDescent="0.3">
      <c r="A6" s="7" t="s">
        <v>20</v>
      </c>
      <c r="B6" s="11">
        <v>0.33400000000000002</v>
      </c>
    </row>
    <row r="7" spans="1:2" x14ac:dyDescent="0.3">
      <c r="A7" s="7" t="s">
        <v>57</v>
      </c>
      <c r="B7" s="11">
        <v>1</v>
      </c>
    </row>
    <row r="19" spans="4:10" ht="15.6" x14ac:dyDescent="0.3">
      <c r="D19" s="13" t="s">
        <v>66</v>
      </c>
      <c r="J19" s="11">
        <v>0.33400000000000002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9.109375" customWidth="1"/>
  </cols>
  <sheetData>
    <row r="3" spans="1:2" x14ac:dyDescent="0.3">
      <c r="A3" s="6" t="s">
        <v>56</v>
      </c>
      <c r="B3" t="s">
        <v>58</v>
      </c>
    </row>
    <row r="4" spans="1:2" x14ac:dyDescent="0.3">
      <c r="A4" s="7" t="s">
        <v>52</v>
      </c>
      <c r="B4" s="11">
        <v>0.41399999999999998</v>
      </c>
    </row>
    <row r="5" spans="1:2" x14ac:dyDescent="0.3">
      <c r="A5" s="7" t="s">
        <v>24</v>
      </c>
      <c r="B5" s="11">
        <v>0.42599999999999999</v>
      </c>
    </row>
    <row r="6" spans="1:2" x14ac:dyDescent="0.3">
      <c r="A6" s="7" t="s">
        <v>53</v>
      </c>
      <c r="B6" s="11">
        <v>0.16</v>
      </c>
    </row>
    <row r="7" spans="1:2" x14ac:dyDescent="0.3">
      <c r="A7" s="7" t="s">
        <v>57</v>
      </c>
      <c r="B7" s="11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>
      <selection activeCell="F21" sqref="F21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6" t="s">
        <v>56</v>
      </c>
      <c r="B3" t="s">
        <v>58</v>
      </c>
    </row>
    <row r="4" spans="1:2" x14ac:dyDescent="0.3">
      <c r="A4" s="7" t="s">
        <v>16</v>
      </c>
      <c r="B4" s="8">
        <v>93</v>
      </c>
    </row>
    <row r="5" spans="1:2" x14ac:dyDescent="0.3">
      <c r="A5" s="7" t="s">
        <v>37</v>
      </c>
      <c r="B5" s="8">
        <v>84</v>
      </c>
    </row>
    <row r="6" spans="1:2" x14ac:dyDescent="0.3">
      <c r="A6" s="7" t="s">
        <v>46</v>
      </c>
      <c r="B6" s="8">
        <v>79</v>
      </c>
    </row>
    <row r="7" spans="1:2" x14ac:dyDescent="0.3">
      <c r="A7" s="7" t="s">
        <v>44</v>
      </c>
      <c r="B7" s="8">
        <v>81</v>
      </c>
    </row>
    <row r="8" spans="1:2" x14ac:dyDescent="0.3">
      <c r="A8" s="7" t="s">
        <v>25</v>
      </c>
      <c r="B8" s="8">
        <v>72</v>
      </c>
    </row>
    <row r="9" spans="1:2" x14ac:dyDescent="0.3">
      <c r="A9" s="7" t="s">
        <v>33</v>
      </c>
      <c r="B9" s="8">
        <v>91</v>
      </c>
    </row>
    <row r="10" spans="1:2" x14ac:dyDescent="0.3">
      <c r="A10" s="7" t="s">
        <v>57</v>
      </c>
      <c r="B10" s="8">
        <v>500</v>
      </c>
    </row>
    <row r="20" spans="6:11" ht="15.6" x14ac:dyDescent="0.3">
      <c r="F20" s="14" t="s">
        <v>65</v>
      </c>
      <c r="K20" s="7" t="s">
        <v>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1"/>
  <sheetViews>
    <sheetView zoomScale="115" zoomScaleNormal="115" workbookViewId="0">
      <selection activeCell="M22" sqref="M22"/>
    </sheetView>
  </sheetViews>
  <sheetFormatPr defaultRowHeight="14.4" x14ac:dyDescent="0.3"/>
  <cols>
    <col min="1" max="1" width="12.5546875" bestFit="1" customWidth="1"/>
    <col min="2" max="2" width="22.88671875" bestFit="1" customWidth="1"/>
    <col min="11" max="11" width="9.88671875" customWidth="1"/>
  </cols>
  <sheetData>
    <row r="3" spans="1:2" x14ac:dyDescent="0.3">
      <c r="A3" s="6" t="s">
        <v>56</v>
      </c>
      <c r="B3" t="s">
        <v>59</v>
      </c>
    </row>
    <row r="4" spans="1:2" x14ac:dyDescent="0.3">
      <c r="A4" s="7" t="s">
        <v>16</v>
      </c>
      <c r="B4" s="10">
        <v>147421.93548387097</v>
      </c>
    </row>
    <row r="5" spans="1:2" x14ac:dyDescent="0.3">
      <c r="A5" s="7" t="s">
        <v>37</v>
      </c>
      <c r="B5" s="10">
        <v>141493.42857142858</v>
      </c>
    </row>
    <row r="6" spans="1:2" x14ac:dyDescent="0.3">
      <c r="A6" s="7" t="s">
        <v>46</v>
      </c>
      <c r="B6" s="10">
        <v>146147.54430379748</v>
      </c>
    </row>
    <row r="7" spans="1:2" x14ac:dyDescent="0.3">
      <c r="A7" s="7" t="s">
        <v>44</v>
      </c>
      <c r="B7" s="10">
        <v>140156</v>
      </c>
    </row>
    <row r="8" spans="1:2" x14ac:dyDescent="0.3">
      <c r="A8" s="7" t="s">
        <v>25</v>
      </c>
      <c r="B8" s="10">
        <v>150629.33333333334</v>
      </c>
    </row>
    <row r="9" spans="1:2" x14ac:dyDescent="0.3">
      <c r="A9" s="7" t="s">
        <v>33</v>
      </c>
      <c r="B9" s="10">
        <v>141845.8021978022</v>
      </c>
    </row>
    <row r="10" spans="1:2" x14ac:dyDescent="0.3">
      <c r="A10" s="7" t="s">
        <v>57</v>
      </c>
      <c r="B10" s="10">
        <v>144494.51999999999</v>
      </c>
    </row>
    <row r="21" spans="5:11" ht="15.6" x14ac:dyDescent="0.3">
      <c r="E21" s="13" t="s">
        <v>64</v>
      </c>
      <c r="K21" s="7" t="s">
        <v>25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9"/>
  <sheetViews>
    <sheetView tabSelected="1" workbookViewId="0">
      <selection activeCell="E22" sqref="E22"/>
    </sheetView>
  </sheetViews>
  <sheetFormatPr defaultRowHeight="14.4" x14ac:dyDescent="0.3"/>
  <cols>
    <col min="1" max="1" width="19.109375" bestFit="1" customWidth="1"/>
    <col min="2" max="2" width="23" bestFit="1" customWidth="1"/>
    <col min="3" max="3" width="27.21875" bestFit="1" customWidth="1"/>
    <col min="4" max="4" width="7" customWidth="1"/>
    <col min="5" max="5" width="27.21875" bestFit="1" customWidth="1"/>
    <col min="6" max="6" width="11" bestFit="1" customWidth="1"/>
  </cols>
  <sheetData>
    <row r="3" spans="1:6" x14ac:dyDescent="0.3">
      <c r="A3" t="s">
        <v>58</v>
      </c>
      <c r="B3" t="s">
        <v>59</v>
      </c>
      <c r="C3" t="s">
        <v>61</v>
      </c>
    </row>
    <row r="4" spans="1:6" x14ac:dyDescent="0.3">
      <c r="A4" s="8">
        <v>500</v>
      </c>
      <c r="B4" s="10">
        <v>144494.51999999999</v>
      </c>
      <c r="C4" s="8">
        <v>2.9780000000000002</v>
      </c>
    </row>
    <row r="6" spans="1:6" x14ac:dyDescent="0.3">
      <c r="A6" s="6" t="s">
        <v>56</v>
      </c>
      <c r="B6" t="s">
        <v>62</v>
      </c>
    </row>
    <row r="7" spans="1:6" x14ac:dyDescent="0.3">
      <c r="A7" s="7" t="s">
        <v>19</v>
      </c>
      <c r="B7" s="11">
        <v>0.502</v>
      </c>
    </row>
    <row r="8" spans="1:6" x14ac:dyDescent="0.3">
      <c r="A8" s="7" t="s">
        <v>35</v>
      </c>
      <c r="B8" s="11">
        <v>0.498</v>
      </c>
    </row>
    <row r="9" spans="1:6" ht="13.8" customHeight="1" x14ac:dyDescent="0.3">
      <c r="A9" s="7" t="s">
        <v>57</v>
      </c>
      <c r="B9" s="11">
        <v>1</v>
      </c>
      <c r="E9" s="9" t="s">
        <v>58</v>
      </c>
      <c r="F9">
        <f>A4</f>
        <v>500</v>
      </c>
    </row>
    <row r="10" spans="1:6" x14ac:dyDescent="0.3">
      <c r="A10" s="6" t="s">
        <v>56</v>
      </c>
      <c r="B10" t="s">
        <v>63</v>
      </c>
      <c r="E10" s="9" t="s">
        <v>59</v>
      </c>
      <c r="F10" s="10">
        <f>B4</f>
        <v>144494.51999999999</v>
      </c>
    </row>
    <row r="11" spans="1:6" x14ac:dyDescent="0.3">
      <c r="A11" s="7" t="s">
        <v>55</v>
      </c>
      <c r="B11" s="11">
        <v>0.19400000000000001</v>
      </c>
      <c r="E11" s="9" t="s">
        <v>61</v>
      </c>
      <c r="F11">
        <f>C4</f>
        <v>2.9780000000000002</v>
      </c>
    </row>
    <row r="12" spans="1:6" x14ac:dyDescent="0.3">
      <c r="A12" s="7" t="s">
        <v>54</v>
      </c>
      <c r="B12" s="11">
        <v>0.35</v>
      </c>
      <c r="E12" s="9" t="s">
        <v>62</v>
      </c>
      <c r="F12" s="11">
        <f>B8</f>
        <v>0.498</v>
      </c>
    </row>
    <row r="13" spans="1:6" x14ac:dyDescent="0.3">
      <c r="A13" s="7" t="s">
        <v>23</v>
      </c>
      <c r="B13" s="11">
        <v>0.45600000000000002</v>
      </c>
      <c r="E13" s="9" t="s">
        <v>63</v>
      </c>
      <c r="F13" s="11">
        <f>B13</f>
        <v>0.45600000000000002</v>
      </c>
    </row>
    <row r="14" spans="1:6" x14ac:dyDescent="0.3">
      <c r="A14" s="7" t="s">
        <v>57</v>
      </c>
      <c r="B14" s="11">
        <v>1</v>
      </c>
    </row>
    <row r="15" spans="1:6" x14ac:dyDescent="0.3">
      <c r="A15" s="7"/>
      <c r="B15" s="11"/>
    </row>
    <row r="16" spans="1:6" x14ac:dyDescent="0.3">
      <c r="A16" s="7"/>
      <c r="B16" s="11"/>
    </row>
    <row r="17" spans="1:4" x14ac:dyDescent="0.3">
      <c r="A17" s="7"/>
      <c r="B17" s="11"/>
    </row>
    <row r="19" spans="1:4" ht="15.6" x14ac:dyDescent="0.3">
      <c r="A19" s="13" t="s">
        <v>68</v>
      </c>
      <c r="D19" s="7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showGridLines="0" zoomScale="37" zoomScaleNormal="25" workbookViewId="0">
      <selection activeCell="BB98" sqref="BB98"/>
    </sheetView>
  </sheetViews>
  <sheetFormatPr defaultRowHeight="14.4" x14ac:dyDescent="0.3"/>
  <sheetData>
    <row r="1" spans="1:22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1:22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spans="1:22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1:22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1:22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1:22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1:22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spans="1:22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spans="1:22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1:22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spans="1:22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1:22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spans="1:22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1:22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1:22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1:22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After Cleaning</vt:lpstr>
      <vt:lpstr>Overtime Analysis</vt:lpstr>
      <vt:lpstr>Employees by Work Location</vt:lpstr>
      <vt:lpstr>Performance Distribution</vt:lpstr>
      <vt:lpstr>Headcount by Department</vt:lpstr>
      <vt:lpstr>Average Salary by Department</vt:lpstr>
      <vt:lpstr>KPI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alshaatt</dc:creator>
  <cp:lastModifiedBy>amr alshaatt</cp:lastModifiedBy>
  <dcterms:created xsi:type="dcterms:W3CDTF">2026-02-06T23:23:26Z</dcterms:created>
  <dcterms:modified xsi:type="dcterms:W3CDTF">2026-02-07T02:39:50Z</dcterms:modified>
</cp:coreProperties>
</file>